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8_{6F020A96-5DE2-47C7-A5FA-4DEE37675938}" xr6:coauthVersionLast="47" xr6:coauthVersionMax="47" xr10:uidLastSave="{00000000-0000-0000-0000-000000000000}"/>
  <bookViews>
    <workbookView xWindow="-108" yWindow="-108" windowWidth="23256" windowHeight="12456" activeTab="5" xr2:uid="{9DA76361-6FAC-424C-B44F-58F5EDEAAE33}"/>
  </bookViews>
  <sheets>
    <sheet name="pivot-region" sheetId="6" r:id="rId1"/>
    <sheet name="Pivot-category" sheetId="7" r:id="rId2"/>
    <sheet name="pivot-month" sheetId="9" r:id="rId3"/>
    <sheet name="Pofit-margin" sheetId="11" r:id="rId4"/>
    <sheet name="cleaned data" sheetId="3" r:id="rId5"/>
    <sheet name="Dahsboard" sheetId="15" r:id="rId6"/>
    <sheet name="Raw data" sheetId="1" r:id="rId7"/>
  </sheets>
  <calcPr calcId="191029"/>
  <pivotCaches>
    <pivotCache cacheId="4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2" i="3"/>
</calcChain>
</file>

<file path=xl/sharedStrings.xml><?xml version="1.0" encoding="utf-8"?>
<sst xmlns="http://schemas.openxmlformats.org/spreadsheetml/2006/main" count="553" uniqueCount="117">
  <si>
    <t>OrderID</t>
  </si>
  <si>
    <t>Date</t>
  </si>
  <si>
    <t>Customer</t>
  </si>
  <si>
    <t>Region</t>
  </si>
  <si>
    <t>Product</t>
  </si>
  <si>
    <t>Category</t>
  </si>
  <si>
    <t>Quantity</t>
  </si>
  <si>
    <t>Price</t>
  </si>
  <si>
    <t>Profit</t>
  </si>
  <si>
    <t>ORD0001</t>
  </si>
  <si>
    <t>Customer 24</t>
  </si>
  <si>
    <t>South</t>
  </si>
  <si>
    <t>Smartphone</t>
  </si>
  <si>
    <t>Electronics</t>
  </si>
  <si>
    <t>ORD0002</t>
  </si>
  <si>
    <t>Customer 9</t>
  </si>
  <si>
    <t>West</t>
  </si>
  <si>
    <t>Jacket</t>
  </si>
  <si>
    <t>Clothing</t>
  </si>
  <si>
    <t>ORD0003</t>
  </si>
  <si>
    <t>Customer 1</t>
  </si>
  <si>
    <t>Headphones</t>
  </si>
  <si>
    <t>ORD0004</t>
  </si>
  <si>
    <t>Customer 10</t>
  </si>
  <si>
    <t>East</t>
  </si>
  <si>
    <t>ORD0005</t>
  </si>
  <si>
    <t>Customer 21</t>
  </si>
  <si>
    <t>Jeans</t>
  </si>
  <si>
    <t>ORD0006</t>
  </si>
  <si>
    <t>Customer 11</t>
  </si>
  <si>
    <t>T-Shirt</t>
  </si>
  <si>
    <t>ORD0007</t>
  </si>
  <si>
    <t>Customer 25</t>
  </si>
  <si>
    <t>Sofa</t>
  </si>
  <si>
    <t>Furniture</t>
  </si>
  <si>
    <t>ORD0008</t>
  </si>
  <si>
    <t>Customer 18</t>
  </si>
  <si>
    <t>Table</t>
  </si>
  <si>
    <t>ORD0009</t>
  </si>
  <si>
    <t>ORD0010</t>
  </si>
  <si>
    <t>Customer 19</t>
  </si>
  <si>
    <t>North</t>
  </si>
  <si>
    <t>ORD0011</t>
  </si>
  <si>
    <t>ORD0012</t>
  </si>
  <si>
    <t>Customer 17</t>
  </si>
  <si>
    <t>Chair</t>
  </si>
  <si>
    <t>ORD0013</t>
  </si>
  <si>
    <t>Customer 15</t>
  </si>
  <si>
    <t>Laptop</t>
  </si>
  <si>
    <t>ORD0014</t>
  </si>
  <si>
    <t>ORD0015</t>
  </si>
  <si>
    <t>ORD0016</t>
  </si>
  <si>
    <t>Customer 8</t>
  </si>
  <si>
    <t>ORD0017</t>
  </si>
  <si>
    <t>Customer 7</t>
  </si>
  <si>
    <t>ORD0018</t>
  </si>
  <si>
    <t>Customer 26</t>
  </si>
  <si>
    <t>ORD0019</t>
  </si>
  <si>
    <t>Customer 30</t>
  </si>
  <si>
    <t>ORD0020</t>
  </si>
  <si>
    <t>Customer 22</t>
  </si>
  <si>
    <t>ORD0021</t>
  </si>
  <si>
    <t>Customer 29</t>
  </si>
  <si>
    <t>ORD0022</t>
  </si>
  <si>
    <t>ORD0023</t>
  </si>
  <si>
    <t>Customer 27</t>
  </si>
  <si>
    <t>ORD0024</t>
  </si>
  <si>
    <t>Customer 2</t>
  </si>
  <si>
    <t>ORD0025</t>
  </si>
  <si>
    <t>Customer 20</t>
  </si>
  <si>
    <t>ORD0026</t>
  </si>
  <si>
    <t>Customer 4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</si>
  <si>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</si>
  <si>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</si>
  <si>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</si>
  <si>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</si>
  <si>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</si>
  <si>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</si>
  <si>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</si>
  <si>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</si>
  <si>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Customer 12</t>
  </si>
  <si>
    <t>ORD0035</t>
  </si>
  <si>
    <t>Customer 13</t>
  </si>
  <si>
    <t>ORD0036</t>
  </si>
  <si>
    <t>Customer 3</t>
  </si>
  <si>
    <t>ORD0037</t>
  </si>
  <si>
    <t>ORD0038</t>
  </si>
  <si>
    <t>ORD0039</t>
  </si>
  <si>
    <t>ORD0040</t>
  </si>
  <si>
    <t>ORD0041</t>
  </si>
  <si>
    <t>ORD0042</t>
  </si>
  <si>
    <t>Customer 28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</si>
  <si>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</si>
  <si>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</si>
  <si>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</si>
  <si>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</si>
  <si>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</si>
  <si>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</si>
  <si>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</si>
  <si>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</si>
  <si>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Row Labels</t>
  </si>
  <si>
    <t>Grand Total</t>
  </si>
  <si>
    <t>Total sales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</si>
  <si>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</si>
  <si>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</si>
  <si>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</si>
  <si>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</si>
  <si>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</si>
  <si>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</si>
  <si>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</si>
  <si>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</si>
  <si>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</si>
  <si>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</si>
  <si>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</si>
  <si>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2023</t>
  </si>
  <si>
    <t>Profit margin (%)</t>
  </si>
  <si>
    <t>Sum of Profit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</si>
</sst>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0F0F0"/>
      <color rgb="FF007ACC"/>
      <color rgb="FFFF914D"/>
      <color rgb="FF1A73E8"/>
      <color rgb="FF00A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/>
              <a:t>Sales by Region</a:t>
            </a:r>
            <a:endParaRPr lang="en-IN" sz="18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'pivot-region'!$B$4:$B$8</c:f>
              <c:numCache>
                <c:formatCode>General</c:formatCode>
                <c:ptCount val="4"/>
                <c:pt idx="0">
                  <c:v>39073.440000000002</c:v>
                </c:pt>
                <c:pt idx="1">
                  <c:v>28501.079999999998</c:v>
                </c:pt>
                <c:pt idx="2">
                  <c:v>28751.17</c:v>
                </c:pt>
                <c:pt idx="3">
                  <c:v>50940.74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B-4424-B644-97D1F386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07280"/>
        <c:axId val="18509680"/>
      </c:barChart>
      <c:catAx>
        <c:axId val="185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80"/>
        <c:crosses val="autoZero"/>
        <c:auto val="1"/>
        <c:lblAlgn val="ctr"/>
        <c:lblOffset val="100"/>
        <c:noMultiLvlLbl val="0"/>
      </c:catAx>
      <c:valAx>
        <c:axId val="185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Pandey.xlsx]Pivot-category!PivotTable4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'Pivot-category'!$A$4:$A$7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'Pivot-category'!$B$4:$B$7</c:f>
              <c:numCache>
                <c:formatCode>General</c:formatCode>
                <c:ptCount val="3"/>
                <c:pt idx="0">
                  <c:v>53446.459999999992</c:v>
                </c:pt>
                <c:pt idx="1">
                  <c:v>54987.3</c:v>
                </c:pt>
                <c:pt idx="2">
                  <c:v>38832.67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4-446D-828F-0A6D3EB4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8312880"/>
        <c:axId val="268326800"/>
      </c:barChart>
      <c:valAx>
        <c:axId val="2683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12880"/>
        <c:crosses val="autoZero"/>
        <c:crossBetween val="between"/>
      </c:valAx>
      <c:catAx>
        <c:axId val="26831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26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Pandey.xlsx]Pivot-category!PivotTable4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Sales by Category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cat>
            <c:strRef>
              <c:f>'Pivot-category'!$A$4:$A$7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'Pivot-category'!$B$4:$B$7</c:f>
              <c:numCache>
                <c:formatCode>General</c:formatCode>
                <c:ptCount val="3"/>
                <c:pt idx="0">
                  <c:v>53446.459999999992</c:v>
                </c:pt>
                <c:pt idx="1">
                  <c:v>54987.3</c:v>
                </c:pt>
                <c:pt idx="2">
                  <c:v>38832.67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4-44EF-96C4-C844BC0B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23987903"/>
        <c:axId val="1923971583"/>
      </c:barChart>
      <c:catAx>
        <c:axId val="19239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71583"/>
        <c:crosses val="autoZero"/>
        <c:auto val="1"/>
        <c:lblAlgn val="ctr"/>
        <c:lblOffset val="100"/>
        <c:noMultiLvlLbl val="0"/>
      </c:catAx>
      <c:valAx>
        <c:axId val="19239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9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Pandey.xlsx]pivot-month!PivotTable5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effectLst>
                  <a:glow>
                    <a:srgbClr val="E8E8E8">
                      <a:alpha val="64000"/>
                    </a:srgb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</a:rPr>
              <a:t>Monthly Sales Trend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>
                  <a:schemeClr val="bg2">
                    <a:alpha val="64000"/>
                  </a:schemeClr>
                </a:glow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22702104097453E-2"/>
          <c:y val="0.15173165854268217"/>
          <c:w val="0.95957198664120469"/>
          <c:h val="0.67038578511019453"/>
        </c:manualLayout>
      </c:layout>
      <c:lineChart>
        <c:grouping val="standard"/>
        <c:varyColors val="0"/>
        <c:ser>
          <c:idx val="0"/>
          <c:order val="0"/>
          <c:tx>
            <c:strRef>
              <c:f>'pivot-month'!$B$3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60000"/>
                      <a:satMod val="160000"/>
                    </a:schemeClr>
                  </a:gs>
                  <a:gs pos="46000">
                    <a:schemeClr val="accent1">
                      <a:tint val="86000"/>
                      <a:satMod val="160000"/>
                    </a:schemeClr>
                  </a:gs>
                  <a:gs pos="100000">
                    <a:schemeClr val="accent1">
                      <a:shade val="40000"/>
                      <a:satMod val="160000"/>
                    </a:schemeClr>
                  </a:gs>
                </a:gsLst>
                <a:path path="circle">
                  <a:fillToRect l="50000" t="155000" r="50000" b="-55000"/>
                </a:path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3975" dist="41275" dir="14700000" algn="t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contrasting" dir="t">
                  <a:rot lat="0" lon="0" rev="3600000"/>
                </a:lightRig>
              </a:scene3d>
              <a:sp3d prstMaterial="plastic">
                <a:bevelT w="127000" h="38200" prst="relaxedInset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>
                        <a:schemeClr val="bg2">
                          <a:alpha val="64000"/>
                        </a:schemeClr>
                      </a:glow>
                      <a:outerShdw blurRad="60007" dist="310007" dir="7680000" sy="30000" kx="1300200" algn="ctr" rotWithShape="0">
                        <a:prstClr val="black">
                          <a:alpha val="32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'pivot-month'!$A$4:$A$15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'pivot-month'!$B$4:$B$15</c:f>
              <c:numCache>
                <c:formatCode>General</c:formatCode>
                <c:ptCount val="10"/>
                <c:pt idx="0">
                  <c:v>11205.59</c:v>
                </c:pt>
                <c:pt idx="1">
                  <c:v>36785.939999999995</c:v>
                </c:pt>
                <c:pt idx="2">
                  <c:v>15962.59</c:v>
                </c:pt>
                <c:pt idx="3">
                  <c:v>15573.06</c:v>
                </c:pt>
                <c:pt idx="4">
                  <c:v>8128.58</c:v>
                </c:pt>
                <c:pt idx="5">
                  <c:v>6209.2</c:v>
                </c:pt>
                <c:pt idx="6">
                  <c:v>14861.65</c:v>
                </c:pt>
                <c:pt idx="7">
                  <c:v>16286.84</c:v>
                </c:pt>
                <c:pt idx="8">
                  <c:v>11231.52</c:v>
                </c:pt>
                <c:pt idx="9">
                  <c:v>11021.460000000001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AD-4CAB-8DAC-EE01AF8652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973904"/>
        <c:axId val="370971504"/>
      </c:lineChart>
      <c:catAx>
        <c:axId val="3709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71504"/>
        <c:crosses val="autoZero"/>
        <c:auto val="1"/>
        <c:lblAlgn val="ctr"/>
        <c:lblOffset val="100"/>
        <c:noMultiLvlLbl val="0"/>
      </c:catAx>
      <c:valAx>
        <c:axId val="370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7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>
      <a:outerShdw blurRad="50800" dist="50800" dir="5400000" algn="ctr" rotWithShape="0">
        <a:schemeClr val="accent1"/>
      </a:outerShdw>
    </a:effectLst>
  </c:spPr>
  <c:txPr>
    <a:bodyPr/>
    <a:lstStyle/>
    <a:p>
      <a:pPr>
        <a:defRPr>
          <a:effectLst>
            <a:glow>
              <a:schemeClr val="bg2">
                <a:alpha val="64000"/>
              </a:schemeClr>
            </a:glow>
            <a:outerShdw blurRad="60007" dist="310007" dir="7680000" sy="30000" kx="1300200" algn="ctr" rotWithShape="0">
              <a:prstClr val="black">
                <a:alpha val="32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Pandey.xlsx]Pofit-margin!PivotTable2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Margin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'Pofit-margin'!$B$3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cat>
            <c:strRef>
              <c:f>'Pofit-margin'!$A$4:$A$7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'Pofit-margin'!$B$4:$B$7</c:f>
              <c:numCache>
                <c:formatCode>General</c:formatCode>
                <c:ptCount val="3"/>
                <c:pt idx="0">
                  <c:v>4478.2445860185735</c:v>
                </c:pt>
                <c:pt idx="1">
                  <c:v>5743.7169537054524</c:v>
                </c:pt>
                <c:pt idx="2">
                  <c:v>2925.1322922695322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C-4159-9FB7-06196BA2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753167"/>
        <c:axId val="914743567"/>
      </c:barChart>
      <c:catAx>
        <c:axId val="9147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43567"/>
        <c:crosses val="autoZero"/>
        <c:auto val="1"/>
        <c:lblAlgn val="ctr"/>
        <c:lblOffset val="100"/>
        <c:noMultiLvlLbl val="0"/>
      </c:catAx>
      <c:valAx>
        <c:axId val="9147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5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Pandey.xlsx]pivot-region!PivotTable3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 b="1"/>
              <a:t>Sales by Region</a:t>
            </a:r>
            <a:endParaRPr lang="en-IN" sz="24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8083412758827534"/>
          <c:y val="5.7210916767359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11282780828867"/>
          <c:y val="0.2768972788657828"/>
          <c:w val="0.77852676503672336"/>
          <c:h val="0.497828476568634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'pivot-region'!$A$4:$A$8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'pivot-region'!$B$4:$B$8</c:f>
              <c:numCache>
                <c:formatCode>General</c:formatCode>
                <c:ptCount val="4"/>
                <c:pt idx="0">
                  <c:v>39073.440000000002</c:v>
                </c:pt>
                <c:pt idx="1">
                  <c:v>28501.079999999998</c:v>
                </c:pt>
                <c:pt idx="2">
                  <c:v>28751.17</c:v>
                </c:pt>
                <c:pt idx="3">
                  <c:v>50940.74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D-4E94-9B0F-27CB5933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507280"/>
        <c:axId val="18509680"/>
      </c:barChart>
      <c:catAx>
        <c:axId val="185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680"/>
        <c:crosses val="autoZero"/>
        <c:auto val="1"/>
        <c:lblAlgn val="ctr"/>
        <c:lblOffset val="100"/>
        <c:noMultiLvlLbl val="0"/>
      </c:catAx>
      <c:valAx>
        <c:axId val="185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Pandey.xlsx]Pivot-category!PivotTable4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 b="1"/>
              <a:t>Sales by Category</a:t>
            </a:r>
            <a:endParaRPr lang="en-IN" sz="24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</c:pivotFmt>
      <c:pivotFmt>
        <c:idx val="4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</c:pivotFmt>
      <c:pivotFmt>
        <c:idx val="5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'Pivot-category'!$B$3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60000"/>
                      <a:satMod val="160000"/>
                    </a:schemeClr>
                  </a:gs>
                  <a:gs pos="46000">
                    <a:schemeClr val="accent1">
                      <a:tint val="86000"/>
                      <a:satMod val="160000"/>
                    </a:schemeClr>
                  </a:gs>
                  <a:gs pos="100000">
                    <a:schemeClr val="accent1">
                      <a:shade val="40000"/>
                      <a:satMod val="160000"/>
                    </a:schemeClr>
                  </a:gs>
                </a:gsLst>
                <a:path path="circle">
                  <a:fillToRect l="50000" t="155000" r="50000" b="-55000"/>
                </a:path>
              </a:gradFill>
              <a:ln>
                <a:noFill/>
              </a:ln>
              <a:effectLst>
                <a:outerShdw blurRad="53975" dist="41275" dir="14700000" algn="t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contrasting" dir="t">
                  <a:rot lat="0" lon="0" rev="3600000"/>
                </a:lightRig>
              </a:scene3d>
              <a:sp3d prstMaterial="plastic">
                <a:bevelT w="127000" h="38200" prst="relaxedInset"/>
              </a:sp3d>
            </c:spPr>
            <c:extLst>
              <c:ext xmlns:c16="http://schemas.microsoft.com/office/drawing/2014/chart" uri="{C3380CC4-5D6E-409C-BE32-E72D297353CC}">
                <c16:uniqueId val="{00000001-F0EE-4825-B87C-8B8123AFF22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60000"/>
                      <a:satMod val="160000"/>
                    </a:schemeClr>
                  </a:gs>
                  <a:gs pos="46000">
                    <a:schemeClr val="accent2">
                      <a:tint val="86000"/>
                      <a:satMod val="160000"/>
                    </a:schemeClr>
                  </a:gs>
                  <a:gs pos="100000">
                    <a:schemeClr val="accent2">
                      <a:shade val="40000"/>
                      <a:satMod val="160000"/>
                    </a:schemeClr>
                  </a:gs>
                </a:gsLst>
                <a:path path="circle">
                  <a:fillToRect l="50000" t="155000" r="50000" b="-55000"/>
                </a:path>
              </a:gradFill>
              <a:ln>
                <a:noFill/>
              </a:ln>
              <a:effectLst>
                <a:outerShdw blurRad="53975" dist="41275" dir="14700000" algn="t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contrasting" dir="t">
                  <a:rot lat="0" lon="0" rev="3600000"/>
                </a:lightRig>
              </a:scene3d>
              <a:sp3d prstMaterial="plastic">
                <a:bevelT w="127000" h="38200" prst="relaxedInset"/>
              </a:sp3d>
            </c:spPr>
            <c:extLst>
              <c:ext xmlns:c16="http://schemas.microsoft.com/office/drawing/2014/chart" uri="{C3380CC4-5D6E-409C-BE32-E72D297353CC}">
                <c16:uniqueId val="{00000003-F0EE-4825-B87C-8B8123AFF22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60000"/>
                      <a:satMod val="160000"/>
                    </a:schemeClr>
                  </a:gs>
                  <a:gs pos="46000">
                    <a:schemeClr val="accent3">
                      <a:tint val="86000"/>
                      <a:satMod val="160000"/>
                    </a:schemeClr>
                  </a:gs>
                  <a:gs pos="100000">
                    <a:schemeClr val="accent3">
                      <a:shade val="40000"/>
                      <a:satMod val="160000"/>
                    </a:schemeClr>
                  </a:gs>
                </a:gsLst>
                <a:path path="circle">
                  <a:fillToRect l="50000" t="155000" r="50000" b="-55000"/>
                </a:path>
              </a:gradFill>
              <a:ln>
                <a:noFill/>
              </a:ln>
              <a:effectLst>
                <a:outerShdw blurRad="53975" dist="41275" dir="14700000" algn="t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contrasting" dir="t">
                  <a:rot lat="0" lon="0" rev="3600000"/>
                </a:lightRig>
              </a:scene3d>
              <a:sp3d prstMaterial="plastic">
                <a:bevelT w="127000" h="38200" prst="relaxedInset"/>
              </a:sp3d>
            </c:spPr>
            <c:extLst>
              <c:ext xmlns:c16="http://schemas.microsoft.com/office/drawing/2014/chart" uri="{C3380CC4-5D6E-409C-BE32-E72D297353CC}">
                <c16:uniqueId val="{00000005-F0EE-4825-B87C-8B8123AFF227}"/>
              </c:ext>
            </c:extLst>
          </c:dPt>
          <c:cat>
            <c:strRef>
              <c:f>'Pivot-category'!$A$4:$A$7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'Pivot-category'!$B$4:$B$7</c:f>
              <c:numCache>
                <c:formatCode>General</c:formatCode>
                <c:ptCount val="3"/>
                <c:pt idx="0">
                  <c:v>53446.459999999992</c:v>
                </c:pt>
                <c:pt idx="1">
                  <c:v>54987.3</c:v>
                </c:pt>
                <c:pt idx="2">
                  <c:v>38832.67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0-4A73-AF9D-AB4BC26D0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Pandey.xlsx]pivot-month!PivotTable5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 b="1" i="0" u="none" strike="noStrike" baseline="0">
                <a:effectLst>
                  <a:glow>
                    <a:srgbClr val="E8E8E8">
                      <a:alpha val="64000"/>
                    </a:srgb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</a:rPr>
              <a:t>Monthly Sales Trend</a:t>
            </a:r>
            <a:endParaRPr lang="en-US" sz="2400"/>
          </a:p>
        </c:rich>
      </c:tx>
      <c:layout>
        <c:manualLayout>
          <c:xMode val="edge"/>
          <c:yMode val="edge"/>
          <c:x val="0.33258112520740152"/>
          <c:y val="1.8576900362201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glow>
                  <a:schemeClr val="bg2">
                    <a:alpha val="64000"/>
                  </a:schemeClr>
                </a:glow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layout>
            <c:manualLayout>
              <c:x val="-1.1131450056894077E-4"/>
              <c:y val="-9.52589702196956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layout>
            <c:manualLayout>
              <c:x val="-1.8866792540045529E-2"/>
              <c:y val="-7.40903101708744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layout>
            <c:manualLayout>
              <c:x val="-4.6888695098693195E-3"/>
              <c:y val="-8.99668052074903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effectLst>
                    <a:glow>
                      <a:schemeClr val="bg2">
                        <a:alpha val="64000"/>
                      </a:schemeClr>
                    </a:glow>
                    <a:outerShdw blurRad="60007" dist="310007" dir="7680000" sy="30000" kx="1300200" algn="ctr" rotWithShape="0">
                      <a:prstClr val="black">
                        <a:alpha val="32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9336859344331E-2"/>
          <c:y val="0.15173165354330709"/>
          <c:w val="0.95957198664120469"/>
          <c:h val="0.67038578511019453"/>
        </c:manualLayout>
      </c:layout>
      <c:lineChart>
        <c:grouping val="standard"/>
        <c:varyColors val="0"/>
        <c:ser>
          <c:idx val="0"/>
          <c:order val="0"/>
          <c:tx>
            <c:strRef>
              <c:f>'pivot-month'!$B$3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60000"/>
                      <a:satMod val="160000"/>
                    </a:schemeClr>
                  </a:gs>
                  <a:gs pos="46000">
                    <a:schemeClr val="accent1">
                      <a:tint val="86000"/>
                      <a:satMod val="160000"/>
                    </a:schemeClr>
                  </a:gs>
                  <a:gs pos="100000">
                    <a:schemeClr val="accent1">
                      <a:shade val="40000"/>
                      <a:satMod val="160000"/>
                    </a:schemeClr>
                  </a:gs>
                </a:gsLst>
                <a:path path="circle">
                  <a:fillToRect l="50000" t="155000" r="50000" b="-55000"/>
                </a:path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3975" dist="41275" dir="14700000" algn="t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contrasting" dir="t">
                  <a:rot lat="0" lon="0" rev="3600000"/>
                </a:lightRig>
              </a:scene3d>
              <a:sp3d prstMaterial="plastic">
                <a:bevelT w="127000" h="38200" prst="relaxedInset"/>
              </a:sp3d>
            </c:spPr>
          </c:marker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tint val="60000"/>
                        <a:satMod val="160000"/>
                      </a:schemeClr>
                    </a:gs>
                    <a:gs pos="46000">
                      <a:schemeClr val="accent1">
                        <a:tint val="86000"/>
                        <a:satMod val="160000"/>
                      </a:schemeClr>
                    </a:gs>
                    <a:gs pos="100000">
                      <a:schemeClr val="accent1">
                        <a:shade val="40000"/>
                        <a:satMod val="160000"/>
                      </a:schemeClr>
                    </a:gs>
                  </a:gsLst>
                  <a:path path="circle">
                    <a:fillToRect l="50000" t="155000" r="50000" b="-55000"/>
                  </a:path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3975" dist="41275" dir="14700000" algn="t" rotWithShape="0">
                    <a:srgbClr val="000000">
                      <a:alpha val="60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contrasting" dir="t">
                    <a:rot lat="0" lon="0" rev="3600000"/>
                  </a:lightRig>
                </a:scene3d>
                <a:sp3d prstMaterial="plastic">
                  <a:bevelT w="127000" h="38200" prst="relaxedInset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0EB-4826-BE9D-BC516135C543}"/>
              </c:ext>
            </c:extLst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tint val="60000"/>
                        <a:satMod val="160000"/>
                      </a:schemeClr>
                    </a:gs>
                    <a:gs pos="46000">
                      <a:schemeClr val="accent1">
                        <a:tint val="86000"/>
                        <a:satMod val="160000"/>
                      </a:schemeClr>
                    </a:gs>
                    <a:gs pos="100000">
                      <a:schemeClr val="accent1">
                        <a:shade val="40000"/>
                        <a:satMod val="160000"/>
                      </a:schemeClr>
                    </a:gs>
                  </a:gsLst>
                  <a:path path="circle">
                    <a:fillToRect l="50000" t="155000" r="50000" b="-55000"/>
                  </a:path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3975" dist="41275" dir="14700000" algn="t" rotWithShape="0">
                    <a:srgbClr val="000000">
                      <a:alpha val="60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contrasting" dir="t">
                    <a:rot lat="0" lon="0" rev="3600000"/>
                  </a:lightRig>
                </a:scene3d>
                <a:sp3d prstMaterial="plastic">
                  <a:bevelT w="127000" h="38200" prst="relaxedInset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0EB-4826-BE9D-BC516135C543}"/>
              </c:ext>
            </c:extLst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tint val="60000"/>
                        <a:satMod val="160000"/>
                      </a:schemeClr>
                    </a:gs>
                    <a:gs pos="46000">
                      <a:schemeClr val="accent1">
                        <a:tint val="86000"/>
                        <a:satMod val="160000"/>
                      </a:schemeClr>
                    </a:gs>
                    <a:gs pos="100000">
                      <a:schemeClr val="accent1">
                        <a:shade val="40000"/>
                        <a:satMod val="160000"/>
                      </a:schemeClr>
                    </a:gs>
                  </a:gsLst>
                  <a:path path="circle">
                    <a:fillToRect l="50000" t="155000" r="50000" b="-55000"/>
                  </a:path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3975" dist="41275" dir="14700000" algn="t" rotWithShape="0">
                    <a:srgbClr val="000000">
                      <a:alpha val="60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contrasting" dir="t">
                    <a:rot lat="0" lon="0" rev="3600000"/>
                  </a:lightRig>
                </a:scene3d>
                <a:sp3d prstMaterial="plastic">
                  <a:bevelT w="127000" h="38200" prst="relaxedInset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0EB-4826-BE9D-BC516135C543}"/>
              </c:ext>
            </c:extLst>
          </c:dPt>
          <c:dLbls>
            <c:dLbl>
              <c:idx val="3"/>
              <c:layout>
                <c:manualLayout>
                  <c:x val="-1.8866792540045529E-2"/>
                  <c:y val="-7.40903101708744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EB-4826-BE9D-BC516135C543}"/>
                </c:ext>
              </c:extLst>
            </c:dLbl>
            <c:dLbl>
              <c:idx val="7"/>
              <c:layout>
                <c:manualLayout>
                  <c:x val="-1.1131450056894077E-4"/>
                  <c:y val="-9.52589702196956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EB-4826-BE9D-BC516135C543}"/>
                </c:ext>
              </c:extLst>
            </c:dLbl>
            <c:dLbl>
              <c:idx val="9"/>
              <c:layout>
                <c:manualLayout>
                  <c:x val="-4.6888695098693195E-3"/>
                  <c:y val="-8.9966805207490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EB-4826-BE9D-BC516135C5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>
                        <a:schemeClr val="bg2">
                          <a:alpha val="64000"/>
                        </a:schemeClr>
                      </a:glow>
                      <a:outerShdw blurRad="60007" dist="310007" dir="7680000" sy="30000" kx="1300200" algn="ctr" rotWithShape="0">
                        <a:prstClr val="black">
                          <a:alpha val="32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'pivot-month'!$A$4:$A$15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'pivot-month'!$B$4:$B$15</c:f>
              <c:numCache>
                <c:formatCode>General</c:formatCode>
                <c:ptCount val="10"/>
                <c:pt idx="0">
                  <c:v>11205.59</c:v>
                </c:pt>
                <c:pt idx="1">
                  <c:v>36785.939999999995</c:v>
                </c:pt>
                <c:pt idx="2">
                  <c:v>15962.59</c:v>
                </c:pt>
                <c:pt idx="3">
                  <c:v>15573.06</c:v>
                </c:pt>
                <c:pt idx="4">
                  <c:v>8128.58</c:v>
                </c:pt>
                <c:pt idx="5">
                  <c:v>6209.2</c:v>
                </c:pt>
                <c:pt idx="6">
                  <c:v>14861.65</c:v>
                </c:pt>
                <c:pt idx="7">
                  <c:v>16286.84</c:v>
                </c:pt>
                <c:pt idx="8">
                  <c:v>11231.52</c:v>
                </c:pt>
                <c:pt idx="9">
                  <c:v>11021.460000000001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B-4826-BE9D-BC516135C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0973904"/>
        <c:axId val="370971504"/>
      </c:lineChart>
      <c:catAx>
        <c:axId val="37097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71504"/>
        <c:crosses val="autoZero"/>
        <c:auto val="1"/>
        <c:lblAlgn val="ctr"/>
        <c:lblOffset val="100"/>
        <c:noMultiLvlLbl val="0"/>
      </c:catAx>
      <c:valAx>
        <c:axId val="370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effectLst>
                  <a:glow>
                    <a:schemeClr val="bg2">
                      <a:alpha val="64000"/>
                    </a:schemeClr>
                  </a:glow>
                  <a:outerShdw blurRad="60007" dist="310007" dir="7680000" sy="30000" kx="1300200" algn="ctr" rotWithShape="0">
                    <a:prstClr val="black">
                      <a:alpha val="32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7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>
      <a:outerShdw blurRad="50800" dist="50800" dir="5400000" algn="ctr" rotWithShape="0">
        <a:schemeClr val="accent1"/>
      </a:outerShdw>
    </a:effectLst>
  </c:spPr>
  <c:txPr>
    <a:bodyPr/>
    <a:lstStyle/>
    <a:p>
      <a:pPr>
        <a:defRPr>
          <a:effectLst>
            <a:glow>
              <a:schemeClr val="bg2">
                <a:alpha val="64000"/>
              </a:schemeClr>
            </a:glow>
            <a:outerShdw blurRad="60007" dist="310007" dir="7680000" sy="30000" kx="1300200" algn="ctr" rotWithShape="0">
              <a:prstClr val="black">
                <a:alpha val="32000"/>
              </a:prst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Sales Dashboard - Krishna Pandey.xlsx]Pofit-margin!PivotTable2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Profit Margin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452178101611962"/>
          <c:y val="6.8384861398079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60000"/>
                  <a:satMod val="160000"/>
                </a:schemeClr>
              </a:gs>
              <a:gs pos="46000">
                <a:schemeClr val="accent1">
                  <a:tint val="86000"/>
                  <a:satMod val="160000"/>
                </a:schemeClr>
              </a:gs>
              <a:gs pos="100000">
                <a:schemeClr val="accent1">
                  <a:shade val="40000"/>
                  <a:satMod val="160000"/>
                </a:schemeClr>
              </a:gs>
            </a:gsLst>
            <a:path path="circle">
              <a:fillToRect l="50000" t="155000" r="50000" b="-55000"/>
            </a:path>
          </a:gradFill>
          <a:ln>
            <a:noFill/>
          </a:ln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'Pofit-margin'!$B$3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0000"/>
                    <a:satMod val="160000"/>
                  </a:schemeClr>
                </a:gs>
                <a:gs pos="46000">
                  <a:schemeClr val="accent1">
                    <a:tint val="86000"/>
                    <a:satMod val="160000"/>
                  </a:schemeClr>
                </a:gs>
                <a:gs pos="100000">
                  <a:schemeClr val="accent1">
                    <a:shade val="40000"/>
                    <a:satMod val="160000"/>
                  </a:schemeClr>
                </a:gs>
              </a:gsLst>
              <a:path path="circle">
                <a:fillToRect l="50000" t="155000" r="50000" b="-55000"/>
              </a:path>
            </a:gradFill>
            <a:ln>
              <a:noFill/>
            </a:ln>
            <a:effectLst>
              <a:outerShdw blurRad="53975" dist="41275" dir="14700000" algn="t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3600000"/>
              </a:lightRig>
            </a:scene3d>
            <a:sp3d prstMaterial="plastic">
              <a:bevelT w="127000" h="38200" prst="relaxedInset"/>
            </a:sp3d>
          </c:spPr>
          <c:invertIfNegative val="0"/>
          <c:cat>
            <c:strRef>
              <c:f>'Pofit-margin'!$A$4:$A$7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'Pofit-margin'!$B$4:$B$7</c:f>
              <c:numCache>
                <c:formatCode>General</c:formatCode>
                <c:ptCount val="3"/>
                <c:pt idx="0">
                  <c:v>4478.2445860185735</c:v>
                </c:pt>
                <c:pt idx="1">
                  <c:v>5743.7169537054524</c:v>
                </c:pt>
                <c:pt idx="2">
                  <c:v>2925.1322922695322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4-4E2B-A4B9-5931A6CC6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753167"/>
        <c:axId val="914743567"/>
      </c:barChart>
      <c:catAx>
        <c:axId val="9147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43567"/>
        <c:crosses val="autoZero"/>
        <c:auto val="1"/>
        <c:lblAlgn val="ctr"/>
        <c:lblOffset val="100"/>
        <c:noMultiLvlLbl val="0"/>
      </c:catAx>
      <c:valAx>
        <c:axId val="9147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75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</xdr:row>
      <xdr:rowOff>152400</xdr:rowOff>
    </xdr:from>
    <xdr:to>
      <xdr:col>13</xdr:col>
      <xdr:colOff>472440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065E9-8F8B-9DB2-A37F-E364E2F49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5</xdr:row>
      <xdr:rowOff>19050</xdr:rowOff>
    </xdr:from>
    <xdr:to>
      <xdr:col>14</xdr:col>
      <xdr:colOff>137160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412FC-366F-DD20-E529-2D7E64B30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177030</xdr:colOff>
      <xdr:row>3</xdr:row>
      <xdr:rowOff>138546</xdr:rowOff>
    </xdr:from>
    <xdr:to>
      <xdr:col>14</xdr:col>
      <xdr:colOff>84666</xdr:colOff>
      <xdr:row>23</xdr:row>
      <xdr:rowOff>7697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F9BD0D-A21D-064A-5836-2C7967CE9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160020</xdr:rowOff>
    </xdr:from>
    <xdr:to>
      <xdr:col>18</xdr:col>
      <xdr:colOff>137160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90CC6-7E47-E6AE-33F9-3B3F15948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171450</xdr:rowOff>
    </xdr:from>
    <xdr:to>
      <xdr:col>12</xdr:col>
      <xdr:colOff>579120</xdr:colOff>
      <xdr:row>22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9073CC-D702-5D59-F531-D62D49E7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503464</xdr:colOff>
      <xdr:row>1</xdr:row>
      <xdr:rowOff>3116</xdr:rowOff>
    </xdr:from>
    <xdr:to>
      <xdr:col>29</xdr:col>
      <xdr:colOff>73269</xdr:colOff>
      <xdr:row>5</xdr:row>
      <xdr:rowOff>87923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C7A71F-374D-C991-300E-7EF780DFD2A9}"/>
            </a:ext>
          </a:extLst>
        </xdr:cNvPr>
        <xdr:cNvSpPr txBox="1"/>
      </xdr:nvSpPr>
      <xdr:spPr>
        <a:xfrm>
          <a:off x="3565071" y="180009"/>
          <a:ext cx="14265519" cy="792378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F0F0F0"/>
              </a:solidFill>
            </a:rPr>
            <a:t>       </a:t>
          </a:r>
          <a:r>
            <a:rPr lang="en-IN" sz="2400" b="1" baseline="0">
              <a:solidFill>
                <a:srgbClr val="F0F0F0"/>
              </a:solidFill>
            </a:rPr>
            <a:t>                          </a:t>
          </a:r>
          <a:r>
            <a:rPr lang="en-IN" sz="2400" b="1">
              <a:solidFill>
                <a:srgbClr val="F0F0F0"/>
              </a:solidFill>
            </a:rPr>
            <a:t>            </a:t>
          </a:r>
          <a:r>
            <a:rPr lang="en-IN" sz="4800" b="1">
              <a:solidFill>
                <a:srgbClr val="F0F0F0"/>
              </a:solidFill>
            </a:rPr>
            <a:t>Superstore Sales Analysis Dashboard</a:t>
          </a:r>
        </a:p>
        <a:p>
          <a:endParaRPr lang="en-IN" sz="1100">
            <a:solidFill>
              <a:srgbClr val="F0F0F0"/>
            </a:solidFill>
          </a:endParaRPr>
        </a:p>
      </xdr:txBody>
    </xdr:sp>
    <xdr:clientData/>
  </xdr:twoCellAnchor>
  <xdr:twoCellAnchor>
    <xdr:from>
      <xdr:col>2</xdr:col>
      <xdr:colOff>600809</xdr:colOff>
      <xdr:row>11</xdr:row>
      <xdr:rowOff>84044</xdr:rowOff>
    </xdr:from>
    <xdr:to>
      <xdr:col>16</xdr:col>
      <xdr:colOff>73269</xdr:colOff>
      <xdr:row>29</xdr:row>
      <xdr:rowOff>102577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2D23E2-4E72-4970-899C-E72154682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43963</xdr:colOff>
      <xdr:row>11</xdr:row>
      <xdr:rowOff>102578</xdr:rowOff>
    </xdr:from>
    <xdr:to>
      <xdr:col>30</xdr:col>
      <xdr:colOff>578534</xdr:colOff>
      <xdr:row>30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C58434-07F6-4B32-828F-A2264D13C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600808</xdr:colOff>
      <xdr:row>31</xdr:row>
      <xdr:rowOff>89674</xdr:rowOff>
    </xdr:from>
    <xdr:to>
      <xdr:col>16</xdr:col>
      <xdr:colOff>29307</xdr:colOff>
      <xdr:row>51</xdr:row>
      <xdr:rowOff>87923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C7CB48-FC90-4FA0-88F1-693477E9F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552864</xdr:colOff>
      <xdr:row>31</xdr:row>
      <xdr:rowOff>131886</xdr:rowOff>
    </xdr:from>
    <xdr:to>
      <xdr:col>30</xdr:col>
      <xdr:colOff>586154</xdr:colOff>
      <xdr:row>51</xdr:row>
      <xdr:rowOff>102577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541B13-0578-4CFA-8AC8-05D8C7FF2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366346</xdr:colOff>
      <xdr:row>6</xdr:row>
      <xdr:rowOff>43962</xdr:rowOff>
    </xdr:from>
    <xdr:to>
      <xdr:col>12</xdr:col>
      <xdr:colOff>102577</xdr:colOff>
      <xdr:row>10</xdr:row>
      <xdr:rowOff>73269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452DAB-6F2E-DB52-8264-5027476CB352}"/>
            </a:ext>
          </a:extLst>
        </xdr:cNvPr>
        <xdr:cNvSpPr txBox="1"/>
      </xdr:nvSpPr>
      <xdr:spPr>
        <a:xfrm>
          <a:off x="4674577" y="1099039"/>
          <a:ext cx="2813538" cy="732692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aseline="0"/>
            <a:t>            </a:t>
          </a:r>
          <a:r>
            <a:rPr lang="en-IN" sz="1800"/>
            <a:t>  </a:t>
          </a:r>
          <a:r>
            <a:rPr lang="en-IN" sz="2000" b="1">
              <a:solidFill>
                <a:schemeClr val="bg1"/>
              </a:solidFill>
            </a:rPr>
            <a:t>TOTAL SALES </a:t>
          </a:r>
        </a:p>
        <a:p>
          <a:r>
            <a:rPr lang="en-IN" sz="2000" b="1" baseline="0">
              <a:solidFill>
                <a:schemeClr val="bg1"/>
              </a:solidFill>
            </a:rPr>
            <a:t>               ₹ 147266.4</a:t>
          </a:r>
          <a:endParaRPr lang="en-IN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43961</xdr:colOff>
      <xdr:row>6</xdr:row>
      <xdr:rowOff>87922</xdr:rowOff>
    </xdr:from>
    <xdr:to>
      <xdr:col>19</xdr:col>
      <xdr:colOff>395653</xdr:colOff>
      <xdr:row>10</xdr:row>
      <xdr:rowOff>117229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F6B9F4C-2044-44F1-92A7-DD855062E755}"/>
            </a:ext>
          </a:extLst>
        </xdr:cNvPr>
        <xdr:cNvSpPr txBox="1"/>
      </xdr:nvSpPr>
      <xdr:spPr>
        <a:xfrm>
          <a:off x="9275884" y="1142999"/>
          <a:ext cx="2813538" cy="732692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aseline="0"/>
            <a:t>            </a:t>
          </a:r>
          <a:r>
            <a:rPr lang="en-IN" sz="1800"/>
            <a:t>  </a:t>
          </a:r>
          <a:r>
            <a:rPr lang="en-IN" sz="2000" b="1">
              <a:solidFill>
                <a:schemeClr val="bg1"/>
              </a:solidFill>
            </a:rPr>
            <a:t>BEST CATEGORY</a:t>
          </a:r>
        </a:p>
        <a:p>
          <a:r>
            <a:rPr lang="en-IN" sz="2000" b="1">
              <a:solidFill>
                <a:schemeClr val="bg1"/>
              </a:solidFill>
            </a:rPr>
            <a:t>               Electronics</a:t>
          </a:r>
        </a:p>
      </xdr:txBody>
    </xdr:sp>
    <xdr:clientData/>
  </xdr:twoCellAnchor>
  <xdr:twoCellAnchor>
    <xdr:from>
      <xdr:col>21</xdr:col>
      <xdr:colOff>454269</xdr:colOff>
      <xdr:row>6</xdr:row>
      <xdr:rowOff>117231</xdr:rowOff>
    </xdr:from>
    <xdr:to>
      <xdr:col>26</xdr:col>
      <xdr:colOff>190499</xdr:colOff>
      <xdr:row>10</xdr:row>
      <xdr:rowOff>146538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FAF25AB-D1F0-460A-BA71-B019F889AE5D}"/>
            </a:ext>
          </a:extLst>
        </xdr:cNvPr>
        <xdr:cNvSpPr txBox="1"/>
      </xdr:nvSpPr>
      <xdr:spPr>
        <a:xfrm>
          <a:off x="13378961" y="1172308"/>
          <a:ext cx="2813538" cy="732692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bg1"/>
              </a:solidFill>
            </a:rPr>
            <a:t>        </a:t>
          </a:r>
          <a:r>
            <a:rPr lang="en-IN" sz="2000" b="1">
              <a:solidFill>
                <a:schemeClr val="bg2"/>
              </a:solidFill>
            </a:rPr>
            <a:t>HIGHEST REGION</a:t>
          </a:r>
        </a:p>
        <a:p>
          <a:r>
            <a:rPr lang="en-IN" sz="2000" b="1">
              <a:solidFill>
                <a:schemeClr val="bg2"/>
              </a:solidFill>
            </a:rPr>
            <a:t>                     West 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0.62278</cdr:x>
      <cdr:y>0.55316</cdr:y>
    </cdr:from>
    <cdr:to>
      <cdr:x>0.70046</cdr:x>
      <cdr:y>0.55316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50ED9ACB-385A-81E7-1B3A-C13DE16DB357}"/>
            </a:ext>
            <a:ext uri="{C183D7F6-B498-43B3-948B-1728B52AA6E4}">
              <adec:decorative xmlns:adec="http://schemas.microsoft.com/office/drawing/2017/decorative" val="1"/>
            </a:ext>
          </a:extLst>
        </cdr:cNvPr>
        <cdr:cNvCxnSpPr/>
      </cdr:nvCxnSpPr>
      <cdr:spPr>
        <a:xfrm xmlns:a="http://schemas.openxmlformats.org/drawingml/2006/main">
          <a:off x="4909038" y="1802423"/>
          <a:ext cx="612321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0.74189</cdr:x>
      <cdr:y>0.49888</cdr:y>
    </cdr:from>
    <cdr:to>
      <cdr:x>0.89381</cdr:x>
      <cdr:y>0.57822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BDE8F9B-31AE-BF4A-F16B-34856FE68686}"/>
            </a:ext>
          </a:extLst>
        </cdr:cNvPr>
        <cdr:cNvSpPr txBox="1"/>
      </cdr:nvSpPr>
      <cdr:spPr>
        <a:xfrm xmlns:a="http://schemas.openxmlformats.org/drawingml/2006/main">
          <a:off x="5847931" y="1625531"/>
          <a:ext cx="1197428" cy="258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0.70219</cdr:x>
      <cdr:y>0.50305</cdr:y>
    </cdr:from>
    <cdr:to>
      <cdr:x>0.86446</cdr:x>
      <cdr:y>0.6158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0A1A687-982B-856D-604E-1C83BA900158}"/>
            </a:ext>
          </a:extLst>
        </cdr:cNvPr>
        <cdr:cNvSpPr txBox="1"/>
      </cdr:nvSpPr>
      <cdr:spPr>
        <a:xfrm xmlns:a="http://schemas.openxmlformats.org/drawingml/2006/main">
          <a:off x="5534967" y="1639137"/>
          <a:ext cx="1279071" cy="367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600" kern="1200">
              <a:solidFill>
                <a:schemeClr val="bg1"/>
              </a:solidFill>
            </a:rPr>
            <a:t>Electronics</a:t>
          </a:r>
        </a:p>
      </cdr:txBody>
    </cdr:sp>
  </cdr:relSizeAnchor>
  <cdr:relSizeAnchor xmlns:cdr="http://schemas.openxmlformats.org/drawingml/2006/chartDrawing">
    <cdr:from>
      <cdr:x>0.3086</cdr:x>
      <cdr:y>0.87054</cdr:y>
    </cdr:from>
    <cdr:to>
      <cdr:x>0.40873</cdr:x>
      <cdr:y>0.87054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C67EDAE-0D18-7C52-EEF6-E899D17DC281}"/>
            </a:ext>
          </a:extLst>
        </cdr:cNvPr>
        <cdr:cNvCxnSpPr/>
      </cdr:nvCxnSpPr>
      <cdr:spPr>
        <a:xfrm xmlns:a="http://schemas.openxmlformats.org/drawingml/2006/main" flipH="1">
          <a:off x="2432538" y="2836566"/>
          <a:ext cx="789214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0.2033</cdr:x>
      <cdr:y>0.81208</cdr:y>
    </cdr:from>
    <cdr:to>
      <cdr:x>0.35694</cdr:x>
      <cdr:y>0.92066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505EACE8-3A36-0BB0-3F82-9653DED64302}"/>
            </a:ext>
          </a:extLst>
        </cdr:cNvPr>
        <cdr:cNvSpPr txBox="1"/>
      </cdr:nvSpPr>
      <cdr:spPr>
        <a:xfrm xmlns:a="http://schemas.openxmlformats.org/drawingml/2006/main">
          <a:off x="1602501" y="2646066"/>
          <a:ext cx="1211036" cy="353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600" kern="1200">
              <a:solidFill>
                <a:schemeClr val="bg1"/>
              </a:solidFill>
            </a:rPr>
            <a:t>Clothing</a:t>
          </a:r>
        </a:p>
      </cdr:txBody>
    </cdr:sp>
  </cdr:relSizeAnchor>
  <cdr:relSizeAnchor xmlns:cdr="http://schemas.openxmlformats.org/drawingml/2006/chartDrawing">
    <cdr:from>
      <cdr:x>0.3017</cdr:x>
      <cdr:y>0.45294</cdr:y>
    </cdr:from>
    <cdr:to>
      <cdr:x>0.40182</cdr:x>
      <cdr:y>0.45711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FAD49CCE-EFAC-7419-BA5E-AF5F22688235}"/>
            </a:ext>
          </a:extLst>
        </cdr:cNvPr>
        <cdr:cNvCxnSpPr/>
      </cdr:nvCxnSpPr>
      <cdr:spPr>
        <a:xfrm xmlns:a="http://schemas.openxmlformats.org/drawingml/2006/main" flipH="1">
          <a:off x="2378108" y="1475851"/>
          <a:ext cx="789214" cy="1360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0.18776</cdr:x>
      <cdr:y>0.39447</cdr:y>
    </cdr:from>
    <cdr:to>
      <cdr:x>0.31205</cdr:x>
      <cdr:y>0.52811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BD436EE6-2975-897E-1556-F3D0E7DBBBFF}"/>
            </a:ext>
          </a:extLst>
        </cdr:cNvPr>
        <cdr:cNvSpPr txBox="1"/>
      </cdr:nvSpPr>
      <cdr:spPr>
        <a:xfrm xmlns:a="http://schemas.openxmlformats.org/drawingml/2006/main">
          <a:off x="1480037" y="1285351"/>
          <a:ext cx="979714" cy="4354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600" kern="1200">
              <a:solidFill>
                <a:schemeClr val="bg1"/>
              </a:solidFill>
            </a:rPr>
            <a:t>Furniture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ndey" refreshedDate="45988.718785300924" createdVersion="8" refreshedVersion="8" minRefreshableVersion="3" recordCount="50" xr:uid="{7AEC49B7-0C63-46BA-BB88-FF38C934CA4D}">
  <cacheSource type="worksheet">
    <worksheetSource ref="A1:K51" sheet="cleaned data"/>
  </cacheSource>
  <cacheFields count="11">
    <cacheField name="OrderID" numFmtId="0">
      <sharedItems/>
    </cacheField>
    <cacheField name="Date" numFmtId="14">
      <sharedItems containsSemiMixedTypes="0" containsNonDate="0" containsDate="1" containsString="0" minDate="2023-01-04T00:00:00" maxDate="2023-10-25T00:00:00"/>
    </cacheField>
    <cacheField name="Customer" numFmtId="0">
      <sharedItems/>
    </cacheField>
    <cacheField name="Region" numFmtId="0">
      <sharedItems/>
    </cacheField>
    <cacheField name="Product" numFmtId="0">
      <sharedItems/>
    </cacheField>
    <cacheField name="Category" numFmtId="0">
      <sharedItems count="3">
        <s v="Electronics"/>
        <s v="Clothing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78.180000000000007" maxValue="1992.67"/>
    </cacheField>
    <cacheField name="Profit" numFmtId="0">
      <sharedItems containsSemiMixedTypes="0" containsString="0" containsNumber="1" minValue="14.36" maxValue="2012"/>
    </cacheField>
    <cacheField name="Total sales" numFmtId="0">
      <sharedItems containsSemiMixedTypes="0" containsString="0" containsNumber="1" minValue="102.04" maxValue="9801.2999999999993"/>
    </cacheField>
    <cacheField name="Profit margin (%)" numFmtId="0">
      <sharedItems containsSemiMixedTypes="0" containsString="0" containsNumber="1" minValue="68.537384325608059" maxValue="1029.86333236405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 pandey" refreshedDate="45996.96824224537" createdVersion="8" refreshedVersion="8" minRefreshableVersion="3" recordCount="50" xr:uid="{572F492D-7E28-44CF-80D1-596F9D67A8D1}">
  <cacheSource type="worksheet">
    <worksheetSource ref="A1:J51" sheet="cleaned data"/>
  </cacheSource>
  <cacheFields count="12">
    <cacheField name="OrderID" numFmtId="0">
      <sharedItems/>
    </cacheField>
    <cacheField name="Date" numFmtId="14">
      <sharedItems containsSemiMixedTypes="0" containsNonDate="0" containsDate="1" containsString="0" minDate="2023-01-04T00:00:00" maxDate="2023-10-25T00:00:00" count="49">
        <d v="2023-01-24T00:00:00"/>
        <d v="2023-02-17T00:00:00"/>
        <d v="2023-04-30T00:00:00"/>
        <d v="2023-05-28T00:00:00"/>
        <d v="2023-02-08T00:00:00"/>
        <d v="2023-05-25T00:00:00"/>
        <d v="2023-09-22T00:00:00"/>
        <d v="2023-04-06T00:00:00"/>
        <d v="2023-03-24T00:00:00"/>
        <d v="2023-02-26T00:00:00"/>
        <d v="2023-01-12T00:00:00"/>
        <d v="2023-02-07T00:00:00"/>
        <d v="2023-07-19T00:00:00"/>
        <d v="2023-10-14T00:00:00"/>
        <d v="2023-09-26T00:00:00"/>
        <d v="2023-04-22T00:00:00"/>
        <d v="2023-06-24T00:00:00"/>
        <d v="2023-01-14T00:00:00"/>
        <d v="2023-07-24T00:00:00"/>
        <d v="2023-08-31T00:00:00"/>
        <d v="2023-10-24T00:00:00"/>
        <d v="2023-08-08T00:00:00"/>
        <d v="2023-05-15T00:00:00"/>
        <d v="2023-02-24T00:00:00"/>
        <d v="2023-06-28T00:00:00"/>
        <d v="2023-03-25T00:00:00"/>
        <d v="2023-08-28T00:00:00"/>
        <d v="2023-08-02T00:00:00"/>
        <d v="2023-02-01T00:00:00"/>
        <d v="2023-02-28T00:00:00"/>
        <d v="2023-03-13T00:00:00"/>
        <d v="2023-04-25T00:00:00"/>
        <d v="2023-08-19T00:00:00"/>
        <d v="2023-09-11T00:00:00"/>
        <d v="2023-02-02T00:00:00"/>
        <d v="2023-06-04T00:00:00"/>
        <d v="2023-02-10T00:00:00"/>
        <d v="2023-01-04T00:00:00"/>
        <d v="2023-07-28T00:00:00"/>
        <d v="2023-03-01T00:00:00"/>
        <d v="2023-02-12T00:00:00"/>
        <d v="2023-07-22T00:00:00"/>
        <d v="2023-03-07T00:00:00"/>
        <d v="2023-03-29T00:00:00"/>
        <d v="2023-10-19T00:00:00"/>
        <d v="2023-09-06T00:00:00"/>
        <d v="2023-01-27T00:00:00"/>
        <d v="2023-08-18T00:00:00"/>
        <d v="2023-10-11T00:00:00"/>
      </sharedItems>
      <fieldGroup par="11"/>
    </cacheField>
    <cacheField name="Customer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Product" numFmtId="0">
      <sharedItems/>
    </cacheField>
    <cacheField name="Category" numFmtId="0">
      <sharedItems count="3">
        <s v="Electronics"/>
        <s v="Clothing"/>
        <s v="Furniture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78.180000000000007" maxValue="1992.67"/>
    </cacheField>
    <cacheField name="Profit" numFmtId="0">
      <sharedItems containsSemiMixedTypes="0" containsString="0" containsNumber="1" minValue="14.36" maxValue="2012"/>
    </cacheField>
    <cacheField name="Total sales" numFmtId="0">
      <sharedItems containsSemiMixedTypes="0" containsString="0" containsNumber="1" minValue="102.04" maxValue="9801.2999999999993"/>
    </cacheField>
    <cacheField name="Months (Date)" numFmtId="0" databaseField="0">
      <fieldGroup base="1">
        <rangePr groupBy="months" startDate="2023-01-04T00:00:00" endDate="2023-10-25T00:00:00"/>
        <groupItems count="14">
          <s v="&lt;04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-10-2023"/>
        </groupItems>
      </fieldGroup>
    </cacheField>
    <cacheField name="Years (Date)" numFmtId="0" databaseField="0">
      <fieldGroup base="1">
        <rangePr groupBy="years" startDate="2023-01-04T00:00:00" endDate="2023-10-25T00:00:00"/>
        <groupItems count="3">
          <s v="&lt;04-01-2023"/>
          <s v="2023"/>
          <s v="&gt;25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01"/>
    <d v="2023-01-24T00:00:00"/>
    <s v="Customer 24"/>
    <s v="South"/>
    <s v="Smartphone"/>
    <x v="0"/>
    <n v="3"/>
    <n v="944.86"/>
    <n v="767.16"/>
    <n v="2834.58"/>
    <n v="123.16335575368893"/>
  </r>
  <r>
    <s v="ORD0002"/>
    <d v="2023-02-17T00:00:00"/>
    <s v="Customer 9"/>
    <s v="West"/>
    <s v="Jacket"/>
    <x v="1"/>
    <n v="2"/>
    <n v="1098.1500000000001"/>
    <n v="551.20000000000005"/>
    <n v="2196.3000000000002"/>
    <n v="199.2289550072569"/>
  </r>
  <r>
    <s v="ORD0003"/>
    <d v="2023-04-30T00:00:00"/>
    <s v="Customer 1"/>
    <s v="West"/>
    <s v="Headphones"/>
    <x v="0"/>
    <n v="4"/>
    <n v="1492.15"/>
    <n v="684.1"/>
    <n v="5968.6"/>
    <n v="218.11869609706184"/>
  </r>
  <r>
    <s v="ORD0004"/>
    <d v="2023-05-28T00:00:00"/>
    <s v="Customer 10"/>
    <s v="East"/>
    <s v="Headphones"/>
    <x v="0"/>
    <n v="4"/>
    <n v="114.97"/>
    <n v="51.69"/>
    <n v="459.88"/>
    <n v="222.422131940414"/>
  </r>
  <r>
    <s v="ORD0005"/>
    <d v="2023-02-08T00:00:00"/>
    <s v="Customer 21"/>
    <s v="East"/>
    <s v="Jeans"/>
    <x v="1"/>
    <n v="3"/>
    <n v="1918.59"/>
    <n v="332.46"/>
    <n v="5755.7699999999995"/>
    <n v="577.08897310954694"/>
  </r>
  <r>
    <s v="ORD0006"/>
    <d v="2023-05-25T00:00:00"/>
    <s v="Customer 11"/>
    <s v="West"/>
    <s v="T-Shirt"/>
    <x v="1"/>
    <n v="5"/>
    <n v="374.26"/>
    <n v="113.99"/>
    <n v="1871.3"/>
    <n v="328.32704623212561"/>
  </r>
  <r>
    <s v="ORD0007"/>
    <d v="2023-09-22T00:00:00"/>
    <s v="Customer 25"/>
    <s v="West"/>
    <s v="Sofa"/>
    <x v="2"/>
    <n v="4"/>
    <n v="1249.98"/>
    <n v="724.99"/>
    <n v="4999.92"/>
    <n v="172.41341259879445"/>
  </r>
  <r>
    <s v="ORD0008"/>
    <d v="2023-04-06T00:00:00"/>
    <s v="Customer 18"/>
    <s v="West"/>
    <s v="Table"/>
    <x v="2"/>
    <n v="5"/>
    <n v="78.180000000000007"/>
    <n v="109.84"/>
    <n v="390.90000000000003"/>
    <n v="71.176256372906039"/>
  </r>
  <r>
    <s v="ORD0009"/>
    <d v="2023-03-24T00:00:00"/>
    <s v="Customer 18"/>
    <s v="East"/>
    <s v="Headphones"/>
    <x v="0"/>
    <n v="1"/>
    <n v="173.81"/>
    <n v="49.93"/>
    <n v="173.81"/>
    <n v="348.1073502904066"/>
  </r>
  <r>
    <s v="ORD0010"/>
    <d v="2023-02-26T00:00:00"/>
    <s v="Customer 19"/>
    <s v="North"/>
    <s v="Smartphone"/>
    <x v="0"/>
    <n v="2"/>
    <n v="211.84"/>
    <n v="78.33"/>
    <n v="423.68"/>
    <n v="270.44555087450533"/>
  </r>
  <r>
    <s v="ORD0011"/>
    <d v="2023-01-12T00:00:00"/>
    <s v="Customer 18"/>
    <s v="West"/>
    <s v="Smartphone"/>
    <x v="0"/>
    <n v="3"/>
    <n v="945.51"/>
    <n v="251.56"/>
    <n v="2836.5299999999997"/>
    <n v="375.85864207346157"/>
  </r>
  <r>
    <s v="ORD0012"/>
    <d v="2023-02-07T00:00:00"/>
    <s v="Customer 17"/>
    <s v="East"/>
    <s v="Chair"/>
    <x v="2"/>
    <n v="5"/>
    <n v="531.21"/>
    <n v="265.68"/>
    <n v="2656.05"/>
    <n v="199.94354110207772"/>
  </r>
  <r>
    <s v="ORD0013"/>
    <d v="2023-07-19T00:00:00"/>
    <s v="Customer 15"/>
    <s v="West"/>
    <s v="Laptop"/>
    <x v="0"/>
    <n v="4"/>
    <n v="724.1"/>
    <n v="232.57"/>
    <n v="2896.4"/>
    <n v="311.3471212968139"/>
  </r>
  <r>
    <s v="ORD0014"/>
    <d v="2023-10-14T00:00:00"/>
    <s v="Customer 11"/>
    <s v="West"/>
    <s v="Headphones"/>
    <x v="0"/>
    <n v="3"/>
    <n v="509.15"/>
    <n v="338.07"/>
    <n v="1527.4499999999998"/>
    <n v="150.60490430975833"/>
  </r>
  <r>
    <s v="ORD0015"/>
    <d v="2023-09-26T00:00:00"/>
    <s v="Customer 11"/>
    <s v="South"/>
    <s v="T-Shirt"/>
    <x v="1"/>
    <n v="4"/>
    <n v="187.04"/>
    <n v="159.05000000000001"/>
    <n v="748.16"/>
    <n v="117.59823954731215"/>
  </r>
  <r>
    <s v="ORD0016"/>
    <d v="2023-04-22T00:00:00"/>
    <s v="Customer 8"/>
    <s v="North"/>
    <s v="Jeans"/>
    <x v="1"/>
    <n v="3"/>
    <n v="1018.72"/>
    <n v="381.86"/>
    <n v="3056.16"/>
    <n v="266.77840046090193"/>
  </r>
  <r>
    <s v="ORD0017"/>
    <d v="2023-06-24T00:00:00"/>
    <s v="Customer 7"/>
    <s v="North"/>
    <s v="Smartphone"/>
    <x v="0"/>
    <n v="5"/>
    <n v="450.64"/>
    <n v="412.39"/>
    <n v="2253.1999999999998"/>
    <n v="109.27520065956982"/>
  </r>
  <r>
    <s v="ORD0018"/>
    <d v="2023-01-14T00:00:00"/>
    <s v="Customer 26"/>
    <s v="East"/>
    <s v="Headphones"/>
    <x v="0"/>
    <n v="4"/>
    <n v="805.42"/>
    <n v="603.14"/>
    <n v="3221.68"/>
    <n v="133.53781874854926"/>
  </r>
  <r>
    <s v="ORD0019"/>
    <d v="2023-07-24T00:00:00"/>
    <s v="Customer 30"/>
    <s v="West"/>
    <s v="Chair"/>
    <x v="2"/>
    <n v="1"/>
    <n v="1785.87"/>
    <n v="447.63"/>
    <n v="1785.87"/>
    <n v="398.96119563031965"/>
  </r>
  <r>
    <s v="ORD0020"/>
    <d v="2023-08-31T00:00:00"/>
    <s v="Customer 22"/>
    <s v="North"/>
    <s v="Chair"/>
    <x v="2"/>
    <n v="2"/>
    <n v="169.06"/>
    <n v="45.74"/>
    <n v="338.12"/>
    <n v="369.61084390030607"/>
  </r>
  <r>
    <s v="ORD0021"/>
    <d v="2023-10-24T00:00:00"/>
    <s v="Customer 29"/>
    <s v="South"/>
    <s v="Chair"/>
    <x v="2"/>
    <n v="5"/>
    <n v="1052.04"/>
    <n v="1420.37"/>
    <n v="5260.2"/>
    <n v="74.068024528819947"/>
  </r>
  <r>
    <s v="ORD0022"/>
    <d v="2023-08-08T00:00:00"/>
    <s v="Customer 26"/>
    <s v="East"/>
    <s v="Laptop"/>
    <x v="0"/>
    <n v="5"/>
    <n v="1432.26"/>
    <n v="1108.45"/>
    <n v="7161.3"/>
    <n v="129.21286481122286"/>
  </r>
  <r>
    <s v="ORD0023"/>
    <d v="2023-05-15T00:00:00"/>
    <s v="Customer 27"/>
    <s v="East"/>
    <s v="T-Shirt"/>
    <x v="1"/>
    <n v="4"/>
    <n v="1449.35"/>
    <n v="923.92"/>
    <n v="5797.4"/>
    <n v="156.8696423932808"/>
  </r>
  <r>
    <s v="ORD0024"/>
    <d v="2023-02-24T00:00:00"/>
    <s v="Customer 2"/>
    <s v="West"/>
    <s v="Laptop"/>
    <x v="0"/>
    <n v="4"/>
    <n v="767.08"/>
    <n v="465.44"/>
    <n v="3068.32"/>
    <n v="164.807493984187"/>
  </r>
  <r>
    <s v="ORD0025"/>
    <d v="2023-06-28T00:00:00"/>
    <s v="Customer 20"/>
    <s v="North"/>
    <s v="Laptop"/>
    <x v="0"/>
    <n v="2"/>
    <n v="1506.32"/>
    <n v="611.79"/>
    <n v="3012.64"/>
    <n v="246.21520456365747"/>
  </r>
  <r>
    <s v="ORD0026"/>
    <d v="2023-03-25T00:00:00"/>
    <s v="Customer 4"/>
    <s v="East"/>
    <s v="Headphones"/>
    <x v="0"/>
    <n v="3"/>
    <n v="242.66"/>
    <n v="73.87"/>
    <n v="727.98"/>
    <n v="328.4960064979017"/>
  </r>
  <r>
    <s v="ORD0027"/>
    <d v="2023-08-28T00:00:00"/>
    <s v="Customer 4"/>
    <s v="South"/>
    <s v="Jeans"/>
    <x v="1"/>
    <n v="2"/>
    <n v="81.62"/>
    <n v="14.36"/>
    <n v="163.24"/>
    <n v="568.38440111420618"/>
  </r>
  <r>
    <s v="ORD0028"/>
    <d v="2023-08-02T00:00:00"/>
    <s v="Customer 2"/>
    <s v="West"/>
    <s v="Smartphone"/>
    <x v="0"/>
    <n v="5"/>
    <n v="1002.04"/>
    <n v="335.9"/>
    <n v="5010.2"/>
    <n v="298.3149746948497"/>
  </r>
  <r>
    <s v="ORD0029"/>
    <d v="2023-02-01T00:00:00"/>
    <s v="Customer 15"/>
    <s v="South"/>
    <s v="Jeans"/>
    <x v="1"/>
    <n v="4"/>
    <n v="1992.67"/>
    <n v="872.46"/>
    <n v="7970.68"/>
    <n v="228.39671732801503"/>
  </r>
  <r>
    <s v="ORD0030"/>
    <d v="2023-02-28T00:00:00"/>
    <s v="Customer 21"/>
    <s v="East"/>
    <s v="Table"/>
    <x v="2"/>
    <n v="1"/>
    <n v="260.39"/>
    <n v="65.39"/>
    <n v="260.39"/>
    <n v="398.21073558648112"/>
  </r>
  <r>
    <s v="ORD0031"/>
    <d v="2023-03-13T00:00:00"/>
    <s v="Customer 15"/>
    <s v="North"/>
    <s v="Sofa"/>
    <x v="2"/>
    <n v="5"/>
    <n v="1887.76"/>
    <n v="2012"/>
    <n v="9438.7999999999993"/>
    <n v="93.825049701789268"/>
  </r>
  <r>
    <s v="ORD0032"/>
    <d v="2023-04-25T00:00:00"/>
    <s v="Customer 10"/>
    <s v="West"/>
    <s v="Headphones"/>
    <x v="0"/>
    <n v="5"/>
    <n v="1231.48"/>
    <n v="1755.77"/>
    <n v="6157.4"/>
    <n v="70.139027321346191"/>
  </r>
  <r>
    <s v="ORD0033"/>
    <d v="2023-08-19T00:00:00"/>
    <s v="Customer 27"/>
    <s v="North"/>
    <s v="Laptop"/>
    <x v="0"/>
    <n v="1"/>
    <n v="708.34"/>
    <n v="68.78"/>
    <n v="708.34"/>
    <n v="1029.8633323640595"/>
  </r>
  <r>
    <s v="ORD0034"/>
    <d v="2023-02-17T00:00:00"/>
    <s v="Customer 12"/>
    <s v="West"/>
    <s v="Jeans"/>
    <x v="1"/>
    <n v="4"/>
    <n v="1854"/>
    <n v="862"/>
    <n v="7416"/>
    <n v="215.08120649651974"/>
  </r>
  <r>
    <s v="ORD0035"/>
    <d v="2023-09-11T00:00:00"/>
    <s v="Customer 13"/>
    <s v="East"/>
    <s v="Laptop"/>
    <x v="0"/>
    <n v="4"/>
    <n v="962.86"/>
    <n v="523.44000000000005"/>
    <n v="3851.44"/>
    <n v="183.94849457435424"/>
  </r>
  <r>
    <s v="ORD0036"/>
    <d v="2023-02-02T00:00:00"/>
    <s v="Customer 3"/>
    <s v="East"/>
    <s v="Sofa"/>
    <x v="2"/>
    <n v="5"/>
    <n v="836.91"/>
    <n v="1221.0999999999999"/>
    <n v="4184.55"/>
    <n v="68.537384325608059"/>
  </r>
  <r>
    <s v="ORD0037"/>
    <d v="2023-06-04T00:00:00"/>
    <s v="Customer 21"/>
    <s v="North"/>
    <s v="Laptop"/>
    <x v="0"/>
    <n v="1"/>
    <n v="943.36"/>
    <n v="152.94"/>
    <n v="943.36"/>
    <n v="616.81705243886495"/>
  </r>
  <r>
    <s v="ORD0038"/>
    <d v="2023-02-10T00:00:00"/>
    <s v="Customer 13"/>
    <s v="West"/>
    <s v="T-Shirt"/>
    <x v="1"/>
    <n v="5"/>
    <n v="526.34"/>
    <n v="255.86"/>
    <n v="2631.7000000000003"/>
    <n v="205.71406237786292"/>
  </r>
  <r>
    <s v="ORD0039"/>
    <d v="2023-01-04T00:00:00"/>
    <s v="Customer 2"/>
    <s v="North"/>
    <s v="T-Shirt"/>
    <x v="1"/>
    <n v="3"/>
    <n v="736.92"/>
    <n v="325.81"/>
    <n v="2210.7599999999998"/>
    <n v="226.18090298026456"/>
  </r>
  <r>
    <s v="ORD0040"/>
    <d v="2023-07-28T00:00:00"/>
    <s v="Customer 9"/>
    <s v="North"/>
    <s v="Table"/>
    <x v="2"/>
    <n v="2"/>
    <n v="189.04"/>
    <n v="46.03"/>
    <n v="378.08"/>
    <n v="410.68868129480774"/>
  </r>
  <r>
    <s v="ORD0041"/>
    <d v="2023-03-01T00:00:00"/>
    <s v="Customer 17"/>
    <s v="West"/>
    <s v="Sofa"/>
    <x v="2"/>
    <n v="5"/>
    <n v="436.77"/>
    <n v="455.88"/>
    <n v="2183.85"/>
    <n v="95.80810739668334"/>
  </r>
  <r>
    <s v="ORD0042"/>
    <d v="2023-02-12T00:00:00"/>
    <s v="Customer 28"/>
    <s v="South"/>
    <s v="Jacket"/>
    <x v="1"/>
    <n v="2"/>
    <n v="111.25"/>
    <n v="61.81"/>
    <n v="222.5"/>
    <n v="179.9870571104999"/>
  </r>
  <r>
    <s v="ORD0043"/>
    <d v="2023-07-22T00:00:00"/>
    <s v="Customer 27"/>
    <s v="South"/>
    <s v="Jeans"/>
    <x v="1"/>
    <n v="5"/>
    <n v="1960.26"/>
    <n v="807.34"/>
    <n v="9801.2999999999993"/>
    <n v="242.80476626947754"/>
  </r>
  <r>
    <s v="ORD0044"/>
    <d v="2023-03-07T00:00:00"/>
    <s v="Customer 21"/>
    <s v="North"/>
    <s v="Jacket"/>
    <x v="1"/>
    <n v="4"/>
    <n v="421.91"/>
    <n v="372.58"/>
    <n v="1687.64"/>
    <n v="113.24010950668315"/>
  </r>
  <r>
    <s v="ORD0045"/>
    <d v="2023-03-29T00:00:00"/>
    <s v="Customer 28"/>
    <s v="South"/>
    <s v="Smartphone"/>
    <x v="0"/>
    <n v="1"/>
    <n v="1750.51"/>
    <n v="423.83"/>
    <n v="1750.51"/>
    <n v="413.02173041077788"/>
  </r>
  <r>
    <s v="ORD0046"/>
    <d v="2023-10-19T00:00:00"/>
    <s v="Customer 18"/>
    <s v="North"/>
    <s v="Table"/>
    <x v="2"/>
    <n v="5"/>
    <n v="483.66"/>
    <n v="384.72"/>
    <n v="2418.3000000000002"/>
    <n v="125.71740486587647"/>
  </r>
  <r>
    <s v="ORD0047"/>
    <d v="2023-09-06T00:00:00"/>
    <s v="Customer 11"/>
    <s v="North"/>
    <s v="Chair"/>
    <x v="2"/>
    <n v="1"/>
    <n v="1632"/>
    <n v="485.87"/>
    <n v="1632"/>
    <n v="335.89231687488422"/>
  </r>
  <r>
    <s v="ORD0048"/>
    <d v="2023-01-27T00:00:00"/>
    <s v="Customer 17"/>
    <s v="East"/>
    <s v="Jacket"/>
    <x v="1"/>
    <n v="1"/>
    <n v="102.04"/>
    <n v="20.18"/>
    <n v="102.04"/>
    <n v="505.6491575817642"/>
  </r>
  <r>
    <s v="ORD0049"/>
    <d v="2023-08-18T00:00:00"/>
    <s v="Customer 30"/>
    <s v="East"/>
    <s v="Sofa"/>
    <x v="2"/>
    <n v="4"/>
    <n v="726.41"/>
    <n v="658.7"/>
    <n v="2905.64"/>
    <n v="110.2793380901776"/>
  </r>
  <r>
    <s v="ORD0050"/>
    <d v="2023-10-11T00:00:00"/>
    <s v="Customer 25"/>
    <s v="East"/>
    <s v="Jeans"/>
    <x v="1"/>
    <n v="1"/>
    <n v="1815.51"/>
    <n v="523.33000000000004"/>
    <n v="1815.51"/>
    <n v="346.91494850285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01"/>
    <x v="0"/>
    <s v="Customer 24"/>
    <x v="0"/>
    <s v="Smartphone"/>
    <x v="0"/>
    <n v="3"/>
    <n v="944.86"/>
    <n v="767.16"/>
    <n v="2834.58"/>
  </r>
  <r>
    <s v="ORD0002"/>
    <x v="1"/>
    <s v="Customer 9"/>
    <x v="1"/>
    <s v="Jacket"/>
    <x v="1"/>
    <n v="2"/>
    <n v="1098.1500000000001"/>
    <n v="551.20000000000005"/>
    <n v="2196.3000000000002"/>
  </r>
  <r>
    <s v="ORD0003"/>
    <x v="2"/>
    <s v="Customer 1"/>
    <x v="1"/>
    <s v="Headphones"/>
    <x v="0"/>
    <n v="4"/>
    <n v="1492.15"/>
    <n v="684.1"/>
    <n v="5968.6"/>
  </r>
  <r>
    <s v="ORD0004"/>
    <x v="3"/>
    <s v="Customer 10"/>
    <x v="2"/>
    <s v="Headphones"/>
    <x v="0"/>
    <n v="4"/>
    <n v="114.97"/>
    <n v="51.69"/>
    <n v="459.88"/>
  </r>
  <r>
    <s v="ORD0005"/>
    <x v="4"/>
    <s v="Customer 21"/>
    <x v="2"/>
    <s v="Jeans"/>
    <x v="1"/>
    <n v="3"/>
    <n v="1918.59"/>
    <n v="332.46"/>
    <n v="5755.7699999999995"/>
  </r>
  <r>
    <s v="ORD0006"/>
    <x v="5"/>
    <s v="Customer 11"/>
    <x v="1"/>
    <s v="T-Shirt"/>
    <x v="1"/>
    <n v="5"/>
    <n v="374.26"/>
    <n v="113.99"/>
    <n v="1871.3"/>
  </r>
  <r>
    <s v="ORD0007"/>
    <x v="6"/>
    <s v="Customer 25"/>
    <x v="1"/>
    <s v="Sofa"/>
    <x v="2"/>
    <n v="4"/>
    <n v="1249.98"/>
    <n v="724.99"/>
    <n v="4999.92"/>
  </r>
  <r>
    <s v="ORD0008"/>
    <x v="7"/>
    <s v="Customer 18"/>
    <x v="1"/>
    <s v="Table"/>
    <x v="2"/>
    <n v="5"/>
    <n v="78.180000000000007"/>
    <n v="109.84"/>
    <n v="390.90000000000003"/>
  </r>
  <r>
    <s v="ORD0009"/>
    <x v="8"/>
    <s v="Customer 18"/>
    <x v="2"/>
    <s v="Headphones"/>
    <x v="0"/>
    <n v="1"/>
    <n v="173.81"/>
    <n v="49.93"/>
    <n v="173.81"/>
  </r>
  <r>
    <s v="ORD0010"/>
    <x v="9"/>
    <s v="Customer 19"/>
    <x v="3"/>
    <s v="Smartphone"/>
    <x v="0"/>
    <n v="2"/>
    <n v="211.84"/>
    <n v="78.33"/>
    <n v="423.68"/>
  </r>
  <r>
    <s v="ORD0011"/>
    <x v="10"/>
    <s v="Customer 18"/>
    <x v="1"/>
    <s v="Smartphone"/>
    <x v="0"/>
    <n v="3"/>
    <n v="945.51"/>
    <n v="251.56"/>
    <n v="2836.5299999999997"/>
  </r>
  <r>
    <s v="ORD0012"/>
    <x v="11"/>
    <s v="Customer 17"/>
    <x v="2"/>
    <s v="Chair"/>
    <x v="2"/>
    <n v="5"/>
    <n v="531.21"/>
    <n v="265.68"/>
    <n v="2656.05"/>
  </r>
  <r>
    <s v="ORD0013"/>
    <x v="12"/>
    <s v="Customer 15"/>
    <x v="1"/>
    <s v="Laptop"/>
    <x v="0"/>
    <n v="4"/>
    <n v="724.1"/>
    <n v="232.57"/>
    <n v="2896.4"/>
  </r>
  <r>
    <s v="ORD0014"/>
    <x v="13"/>
    <s v="Customer 11"/>
    <x v="1"/>
    <s v="Headphones"/>
    <x v="0"/>
    <n v="3"/>
    <n v="509.15"/>
    <n v="338.07"/>
    <n v="1527.4499999999998"/>
  </r>
  <r>
    <s v="ORD0015"/>
    <x v="14"/>
    <s v="Customer 11"/>
    <x v="0"/>
    <s v="T-Shirt"/>
    <x v="1"/>
    <n v="4"/>
    <n v="187.04"/>
    <n v="159.05000000000001"/>
    <n v="748.16"/>
  </r>
  <r>
    <s v="ORD0016"/>
    <x v="15"/>
    <s v="Customer 8"/>
    <x v="3"/>
    <s v="Jeans"/>
    <x v="1"/>
    <n v="3"/>
    <n v="1018.72"/>
    <n v="381.86"/>
    <n v="3056.16"/>
  </r>
  <r>
    <s v="ORD0017"/>
    <x v="16"/>
    <s v="Customer 7"/>
    <x v="3"/>
    <s v="Smartphone"/>
    <x v="0"/>
    <n v="5"/>
    <n v="450.64"/>
    <n v="412.39"/>
    <n v="2253.1999999999998"/>
  </r>
  <r>
    <s v="ORD0018"/>
    <x v="17"/>
    <s v="Customer 26"/>
    <x v="2"/>
    <s v="Headphones"/>
    <x v="0"/>
    <n v="4"/>
    <n v="805.42"/>
    <n v="603.14"/>
    <n v="3221.68"/>
  </r>
  <r>
    <s v="ORD0019"/>
    <x v="18"/>
    <s v="Customer 30"/>
    <x v="1"/>
    <s v="Chair"/>
    <x v="2"/>
    <n v="1"/>
    <n v="1785.87"/>
    <n v="447.63"/>
    <n v="1785.87"/>
  </r>
  <r>
    <s v="ORD0020"/>
    <x v="19"/>
    <s v="Customer 22"/>
    <x v="3"/>
    <s v="Chair"/>
    <x v="2"/>
    <n v="2"/>
    <n v="169.06"/>
    <n v="45.74"/>
    <n v="338.12"/>
  </r>
  <r>
    <s v="ORD0021"/>
    <x v="20"/>
    <s v="Customer 29"/>
    <x v="0"/>
    <s v="Chair"/>
    <x v="2"/>
    <n v="5"/>
    <n v="1052.04"/>
    <n v="1420.37"/>
    <n v="5260.2"/>
  </r>
  <r>
    <s v="ORD0022"/>
    <x v="21"/>
    <s v="Customer 26"/>
    <x v="2"/>
    <s v="Laptop"/>
    <x v="0"/>
    <n v="5"/>
    <n v="1432.26"/>
    <n v="1108.45"/>
    <n v="7161.3"/>
  </r>
  <r>
    <s v="ORD0023"/>
    <x v="22"/>
    <s v="Customer 27"/>
    <x v="2"/>
    <s v="T-Shirt"/>
    <x v="1"/>
    <n v="4"/>
    <n v="1449.35"/>
    <n v="923.92"/>
    <n v="5797.4"/>
  </r>
  <r>
    <s v="ORD0024"/>
    <x v="23"/>
    <s v="Customer 2"/>
    <x v="1"/>
    <s v="Laptop"/>
    <x v="0"/>
    <n v="4"/>
    <n v="767.08"/>
    <n v="465.44"/>
    <n v="3068.32"/>
  </r>
  <r>
    <s v="ORD0025"/>
    <x v="24"/>
    <s v="Customer 20"/>
    <x v="3"/>
    <s v="Laptop"/>
    <x v="0"/>
    <n v="2"/>
    <n v="1506.32"/>
    <n v="611.79"/>
    <n v="3012.64"/>
  </r>
  <r>
    <s v="ORD0026"/>
    <x v="25"/>
    <s v="Customer 4"/>
    <x v="2"/>
    <s v="Headphones"/>
    <x v="0"/>
    <n v="3"/>
    <n v="242.66"/>
    <n v="73.87"/>
    <n v="727.98"/>
  </r>
  <r>
    <s v="ORD0027"/>
    <x v="26"/>
    <s v="Customer 4"/>
    <x v="0"/>
    <s v="Jeans"/>
    <x v="1"/>
    <n v="2"/>
    <n v="81.62"/>
    <n v="14.36"/>
    <n v="163.24"/>
  </r>
  <r>
    <s v="ORD0028"/>
    <x v="27"/>
    <s v="Customer 2"/>
    <x v="1"/>
    <s v="Smartphone"/>
    <x v="0"/>
    <n v="5"/>
    <n v="1002.04"/>
    <n v="335.9"/>
    <n v="5010.2"/>
  </r>
  <r>
    <s v="ORD0029"/>
    <x v="28"/>
    <s v="Customer 15"/>
    <x v="0"/>
    <s v="Jeans"/>
    <x v="1"/>
    <n v="4"/>
    <n v="1992.67"/>
    <n v="872.46"/>
    <n v="7970.68"/>
  </r>
  <r>
    <s v="ORD0030"/>
    <x v="29"/>
    <s v="Customer 21"/>
    <x v="2"/>
    <s v="Table"/>
    <x v="2"/>
    <n v="1"/>
    <n v="260.39"/>
    <n v="65.39"/>
    <n v="260.39"/>
  </r>
  <r>
    <s v="ORD0031"/>
    <x v="30"/>
    <s v="Customer 15"/>
    <x v="3"/>
    <s v="Sofa"/>
    <x v="2"/>
    <n v="5"/>
    <n v="1887.76"/>
    <n v="2012"/>
    <n v="9438.7999999999993"/>
  </r>
  <r>
    <s v="ORD0032"/>
    <x v="31"/>
    <s v="Customer 10"/>
    <x v="1"/>
    <s v="Headphones"/>
    <x v="0"/>
    <n v="5"/>
    <n v="1231.48"/>
    <n v="1755.77"/>
    <n v="6157.4"/>
  </r>
  <r>
    <s v="ORD0033"/>
    <x v="32"/>
    <s v="Customer 27"/>
    <x v="3"/>
    <s v="Laptop"/>
    <x v="0"/>
    <n v="1"/>
    <n v="708.34"/>
    <n v="68.78"/>
    <n v="708.34"/>
  </r>
  <r>
    <s v="ORD0034"/>
    <x v="1"/>
    <s v="Customer 12"/>
    <x v="1"/>
    <s v="Jeans"/>
    <x v="1"/>
    <n v="4"/>
    <n v="1854"/>
    <n v="862"/>
    <n v="7416"/>
  </r>
  <r>
    <s v="ORD0035"/>
    <x v="33"/>
    <s v="Customer 13"/>
    <x v="2"/>
    <s v="Laptop"/>
    <x v="0"/>
    <n v="4"/>
    <n v="962.86"/>
    <n v="523.44000000000005"/>
    <n v="3851.44"/>
  </r>
  <r>
    <s v="ORD0036"/>
    <x v="34"/>
    <s v="Customer 3"/>
    <x v="2"/>
    <s v="Sofa"/>
    <x v="2"/>
    <n v="5"/>
    <n v="836.91"/>
    <n v="1221.0999999999999"/>
    <n v="4184.55"/>
  </r>
  <r>
    <s v="ORD0037"/>
    <x v="35"/>
    <s v="Customer 21"/>
    <x v="3"/>
    <s v="Laptop"/>
    <x v="0"/>
    <n v="1"/>
    <n v="943.36"/>
    <n v="152.94"/>
    <n v="943.36"/>
  </r>
  <r>
    <s v="ORD0038"/>
    <x v="36"/>
    <s v="Customer 13"/>
    <x v="1"/>
    <s v="T-Shirt"/>
    <x v="1"/>
    <n v="5"/>
    <n v="526.34"/>
    <n v="255.86"/>
    <n v="2631.7000000000003"/>
  </r>
  <r>
    <s v="ORD0039"/>
    <x v="37"/>
    <s v="Customer 2"/>
    <x v="3"/>
    <s v="T-Shirt"/>
    <x v="1"/>
    <n v="3"/>
    <n v="736.92"/>
    <n v="325.81"/>
    <n v="2210.7599999999998"/>
  </r>
  <r>
    <s v="ORD0040"/>
    <x v="38"/>
    <s v="Customer 9"/>
    <x v="3"/>
    <s v="Table"/>
    <x v="2"/>
    <n v="2"/>
    <n v="189.04"/>
    <n v="46.03"/>
    <n v="378.08"/>
  </r>
  <r>
    <s v="ORD0041"/>
    <x v="39"/>
    <s v="Customer 17"/>
    <x v="1"/>
    <s v="Sofa"/>
    <x v="2"/>
    <n v="5"/>
    <n v="436.77"/>
    <n v="455.88"/>
    <n v="2183.85"/>
  </r>
  <r>
    <s v="ORD0042"/>
    <x v="40"/>
    <s v="Customer 28"/>
    <x v="0"/>
    <s v="Jacket"/>
    <x v="1"/>
    <n v="2"/>
    <n v="111.25"/>
    <n v="61.81"/>
    <n v="222.5"/>
  </r>
  <r>
    <s v="ORD0043"/>
    <x v="41"/>
    <s v="Customer 27"/>
    <x v="0"/>
    <s v="Jeans"/>
    <x v="1"/>
    <n v="5"/>
    <n v="1960.26"/>
    <n v="807.34"/>
    <n v="9801.2999999999993"/>
  </r>
  <r>
    <s v="ORD0044"/>
    <x v="42"/>
    <s v="Customer 21"/>
    <x v="3"/>
    <s v="Jacket"/>
    <x v="1"/>
    <n v="4"/>
    <n v="421.91"/>
    <n v="372.58"/>
    <n v="1687.64"/>
  </r>
  <r>
    <s v="ORD0045"/>
    <x v="43"/>
    <s v="Customer 28"/>
    <x v="0"/>
    <s v="Smartphone"/>
    <x v="0"/>
    <n v="1"/>
    <n v="1750.51"/>
    <n v="423.83"/>
    <n v="1750.51"/>
  </r>
  <r>
    <s v="ORD0046"/>
    <x v="44"/>
    <s v="Customer 18"/>
    <x v="3"/>
    <s v="Table"/>
    <x v="2"/>
    <n v="5"/>
    <n v="483.66"/>
    <n v="384.72"/>
    <n v="2418.3000000000002"/>
  </r>
  <r>
    <s v="ORD0047"/>
    <x v="45"/>
    <s v="Customer 11"/>
    <x v="3"/>
    <s v="Chair"/>
    <x v="2"/>
    <n v="1"/>
    <n v="1632"/>
    <n v="485.87"/>
    <n v="1632"/>
  </r>
  <r>
    <s v="ORD0048"/>
    <x v="46"/>
    <s v="Customer 17"/>
    <x v="2"/>
    <s v="Jacket"/>
    <x v="1"/>
    <n v="1"/>
    <n v="102.04"/>
    <n v="20.18"/>
    <n v="102.04"/>
  </r>
  <r>
    <s v="ORD0049"/>
    <x v="47"/>
    <s v="Customer 30"/>
    <x v="2"/>
    <s v="Sofa"/>
    <x v="2"/>
    <n v="4"/>
    <n v="726.41"/>
    <n v="658.7"/>
    <n v="2905.64"/>
  </r>
  <r>
    <s v="ORD0050"/>
    <x v="48"/>
    <s v="Customer 25"/>
    <x v="2"/>
    <s v="Jeans"/>
    <x v="1"/>
    <n v="1"/>
    <n v="1815.51"/>
    <n v="523.33000000000004"/>
    <n v="1815.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EF6DC-ED1E-4578-899C-122054309C2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numFmtId="14" showAll="0">
      <items count="50">
        <item x="37"/>
        <item x="10"/>
        <item x="17"/>
        <item x="0"/>
        <item x="46"/>
        <item x="28"/>
        <item x="34"/>
        <item x="11"/>
        <item x="4"/>
        <item x="36"/>
        <item x="40"/>
        <item x="1"/>
        <item x="23"/>
        <item x="9"/>
        <item x="29"/>
        <item x="39"/>
        <item x="42"/>
        <item x="30"/>
        <item x="8"/>
        <item x="25"/>
        <item x="43"/>
        <item x="7"/>
        <item x="15"/>
        <item x="31"/>
        <item x="2"/>
        <item x="22"/>
        <item x="5"/>
        <item x="3"/>
        <item x="35"/>
        <item x="16"/>
        <item x="24"/>
        <item x="12"/>
        <item x="41"/>
        <item x="18"/>
        <item x="38"/>
        <item x="27"/>
        <item x="21"/>
        <item x="47"/>
        <item x="32"/>
        <item x="26"/>
        <item x="19"/>
        <item x="45"/>
        <item x="33"/>
        <item x="6"/>
        <item x="14"/>
        <item x="48"/>
        <item x="13"/>
        <item x="44"/>
        <item x="2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8DD9B-7AD8-46BC-A36C-1FDF4FBD4F82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12">
    <pivotField showAll="0"/>
    <pivotField numFmtId="14" showAll="0">
      <items count="50">
        <item x="37"/>
        <item x="10"/>
        <item x="17"/>
        <item x="0"/>
        <item x="46"/>
        <item x="28"/>
        <item x="34"/>
        <item x="11"/>
        <item x="4"/>
        <item x="36"/>
        <item x="40"/>
        <item x="1"/>
        <item x="23"/>
        <item x="9"/>
        <item x="29"/>
        <item x="39"/>
        <item x="42"/>
        <item x="30"/>
        <item x="8"/>
        <item x="25"/>
        <item x="43"/>
        <item x="7"/>
        <item x="15"/>
        <item x="31"/>
        <item x="2"/>
        <item x="22"/>
        <item x="5"/>
        <item x="3"/>
        <item x="35"/>
        <item x="16"/>
        <item x="24"/>
        <item x="12"/>
        <item x="41"/>
        <item x="18"/>
        <item x="38"/>
        <item x="27"/>
        <item x="21"/>
        <item x="47"/>
        <item x="32"/>
        <item x="26"/>
        <item x="19"/>
        <item x="45"/>
        <item x="33"/>
        <item x="6"/>
        <item x="14"/>
        <item x="48"/>
        <item x="13"/>
        <item x="44"/>
        <item x="20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1F6C4-99C9-419E-A5B0-EBC99BF0ED7E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5" firstHeaderRow="1" firstDataRow="1" firstDataCol="1"/>
  <pivotFields count="12">
    <pivotField showAll="0"/>
    <pivotField numFmtId="14" showAll="0">
      <items count="50">
        <item x="37"/>
        <item x="10"/>
        <item x="17"/>
        <item x="0"/>
        <item x="46"/>
        <item x="28"/>
        <item x="34"/>
        <item x="11"/>
        <item x="4"/>
        <item x="36"/>
        <item x="40"/>
        <item x="1"/>
        <item x="23"/>
        <item x="9"/>
        <item x="29"/>
        <item x="39"/>
        <item x="42"/>
        <item x="30"/>
        <item x="8"/>
        <item x="25"/>
        <item x="43"/>
        <item x="7"/>
        <item x="15"/>
        <item x="31"/>
        <item x="2"/>
        <item x="22"/>
        <item x="5"/>
        <item x="3"/>
        <item x="35"/>
        <item x="16"/>
        <item x="24"/>
        <item x="12"/>
        <item x="41"/>
        <item x="18"/>
        <item x="38"/>
        <item x="27"/>
        <item x="21"/>
        <item x="47"/>
        <item x="32"/>
        <item x="26"/>
        <item x="19"/>
        <item x="45"/>
        <item x="33"/>
        <item x="6"/>
        <item x="14"/>
        <item x="48"/>
        <item x="13"/>
        <item x="4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1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Total sales" fld="9" baseField="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10" count="1" selected="0">
            <x v="8"/>
          </reference>
          <reference field="11" count="1" selected="0">
            <x v="1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10" count="1" selected="0">
            <x v="4"/>
          </reference>
          <reference field="11" count="1" selected="0">
            <x v="1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10" count="1" selected="0">
            <x v="1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4B85E-1790-49AC-92B6-C183A2B08F3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 margin (%)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335B-E5F1-4E12-AC35-4F6802C68EF1}">
  <dimension ref="A3:B8"/>
  <sheetViews>
    <sheetView workbookViewId="0">
      <selection activeCell="O7" sqref="O7"/>
    </sheetView>
  </sheetViews>
  <sheetFormatPr defaultRowHeight="14.4" x14ac:dyDescent="0.3"/>
  <cols>
    <col min="1" max="1" width="12.44140625" bestFit="1" customWidth="1"/>
    <col min="2" max="2" width="15.88671875" bestFit="1" customWidth="1"/>
  </cols>
  <sheetData>
    <row r="3" spans="1:2" x14ac:dyDescent="0.3">
      <c r="A3" s="2" t="s">
        <v>100</v>
      </c>
      <c r="B3" t="s">
        <v>103</v>
      </c>
    </row>
    <row r="4" spans="1:2" x14ac:dyDescent="0.3">
      <c r="A4" s="3" t="s">
        <v>24</v>
      </c>
      <c r="B4">
        <v>39073.440000000002</v>
      </c>
    </row>
    <row r="5" spans="1:2" x14ac:dyDescent="0.3">
      <c r="A5" s="3" t="s">
        <v>41</v>
      </c>
      <c r="B5">
        <v>28501.079999999998</v>
      </c>
    </row>
    <row r="6" spans="1:2" x14ac:dyDescent="0.3">
      <c r="A6" s="3" t="s">
        <v>11</v>
      </c>
      <c r="B6">
        <v>28751.17</v>
      </c>
    </row>
    <row r="7" spans="1:2" x14ac:dyDescent="0.3">
      <c r="A7" s="3" t="s">
        <v>16</v>
      </c>
      <c r="B7">
        <v>50940.74</v>
      </c>
    </row>
    <row r="8" spans="1:2" x14ac:dyDescent="0.3">
      <c r="A8" s="3" t="s">
        <v>101</v>
      </c>
      <c r="B8">
        <v>147266.43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2511-B6D6-4B51-93D6-3E4FA0DA4040}">
  <dimension ref="A3:B7"/>
  <sheetViews>
    <sheetView zoomScale="99" workbookViewId="0">
      <selection activeCell="J25" sqref="J25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2" t="s">
        <v>100</v>
      </c>
      <c r="B3" t="s">
        <v>103</v>
      </c>
    </row>
    <row r="4" spans="1:2" x14ac:dyDescent="0.3">
      <c r="A4" s="3" t="s">
        <v>18</v>
      </c>
      <c r="B4">
        <v>53446.459999999992</v>
      </c>
    </row>
    <row r="5" spans="1:2" x14ac:dyDescent="0.3">
      <c r="A5" s="3" t="s">
        <v>13</v>
      </c>
      <c r="B5">
        <v>54987.3</v>
      </c>
    </row>
    <row r="6" spans="1:2" x14ac:dyDescent="0.3">
      <c r="A6" s="3" t="s">
        <v>34</v>
      </c>
      <c r="B6">
        <v>38832.67</v>
      </c>
    </row>
    <row r="7" spans="1:2" x14ac:dyDescent="0.3">
      <c r="A7" s="3" t="s">
        <v>101</v>
      </c>
      <c r="B7">
        <v>147266.43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1ABE-D815-4345-93C9-F94BE468AA83}">
  <dimension ref="A3:B15"/>
  <sheetViews>
    <sheetView zoomScale="80" workbookViewId="0">
      <selection activeCell="B8" sqref="B8"/>
    </sheetView>
  </sheetViews>
  <sheetFormatPr defaultRowHeight="14.4" x14ac:dyDescent="0.3"/>
  <cols>
    <col min="1" max="1" width="13.5546875" bestFit="1" customWidth="1"/>
    <col min="2" max="2" width="17.109375" bestFit="1" customWidth="1"/>
  </cols>
  <sheetData>
    <row r="3" spans="1:2" x14ac:dyDescent="0.3">
      <c r="A3" s="2" t="s">
        <v>100</v>
      </c>
      <c r="B3" t="s">
        <v>103</v>
      </c>
    </row>
    <row r="4" spans="1:2" x14ac:dyDescent="0.3">
      <c r="A4" s="3" t="s">
        <v>114</v>
      </c>
      <c r="B4">
        <v>147266.42999999996</v>
      </c>
    </row>
    <row r="5" spans="1:2" x14ac:dyDescent="0.3">
      <c r="A5" s="4" t="s">
        <v>104</v>
      </c>
      <c r="B5">
        <v>11205.59</v>
      </c>
    </row>
    <row r="6" spans="1:2" x14ac:dyDescent="0.3">
      <c r="A6" s="4" t="s">
        <v>105</v>
      </c>
      <c r="B6">
        <v>36785.939999999995</v>
      </c>
    </row>
    <row r="7" spans="1:2" x14ac:dyDescent="0.3">
      <c r="A7" s="4" t="s">
        <v>106</v>
      </c>
      <c r="B7">
        <v>15962.59</v>
      </c>
    </row>
    <row r="8" spans="1:2" x14ac:dyDescent="0.3">
      <c r="A8" s="4" t="s">
        <v>107</v>
      </c>
      <c r="B8">
        <v>15573.06</v>
      </c>
    </row>
    <row r="9" spans="1:2" x14ac:dyDescent="0.3">
      <c r="A9" s="4" t="s">
        <v>108</v>
      </c>
      <c r="B9">
        <v>8128.58</v>
      </c>
    </row>
    <row r="10" spans="1:2" x14ac:dyDescent="0.3">
      <c r="A10" s="4" t="s">
        <v>109</v>
      </c>
      <c r="B10">
        <v>6209.2</v>
      </c>
    </row>
    <row r="11" spans="1:2" x14ac:dyDescent="0.3">
      <c r="A11" s="4" t="s">
        <v>110</v>
      </c>
      <c r="B11">
        <v>14861.65</v>
      </c>
    </row>
    <row r="12" spans="1:2" x14ac:dyDescent="0.3">
      <c r="A12" s="4" t="s">
        <v>111</v>
      </c>
      <c r="B12">
        <v>16286.84</v>
      </c>
    </row>
    <row r="13" spans="1:2" x14ac:dyDescent="0.3">
      <c r="A13" s="4" t="s">
        <v>112</v>
      </c>
      <c r="B13">
        <v>11231.52</v>
      </c>
    </row>
    <row r="14" spans="1:2" x14ac:dyDescent="0.3">
      <c r="A14" s="4" t="s">
        <v>113</v>
      </c>
      <c r="B14">
        <v>11021.460000000001</v>
      </c>
    </row>
    <row r="15" spans="1:2" x14ac:dyDescent="0.3">
      <c r="A15" s="3" t="s">
        <v>101</v>
      </c>
      <c r="B15">
        <v>147266.42999999996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6375-ACE9-41FB-8DB1-365A0C56EDC7}">
  <dimension ref="A3:B7"/>
  <sheetViews>
    <sheetView workbookViewId="0">
      <selection activeCell="Q1" sqref="Q1"/>
    </sheetView>
  </sheetViews>
  <sheetFormatPr defaultRowHeight="14.4" x14ac:dyDescent="0.3"/>
  <cols>
    <col min="1" max="1" width="12.44140625" bestFit="1" customWidth="1"/>
    <col min="2" max="2" width="21.109375" bestFit="1" customWidth="1"/>
  </cols>
  <sheetData>
    <row r="3" spans="1:2" x14ac:dyDescent="0.3">
      <c r="A3" s="2" t="s">
        <v>100</v>
      </c>
      <c r="B3" t="s">
        <v>116</v>
      </c>
    </row>
    <row r="4" spans="1:2" x14ac:dyDescent="0.3">
      <c r="A4" s="3" t="s">
        <v>18</v>
      </c>
      <c r="B4">
        <v>4478.2445860185735</v>
      </c>
    </row>
    <row r="5" spans="1:2" x14ac:dyDescent="0.3">
      <c r="A5" s="3" t="s">
        <v>13</v>
      </c>
      <c r="B5">
        <v>5743.7169537054524</v>
      </c>
    </row>
    <row r="6" spans="1:2" x14ac:dyDescent="0.3">
      <c r="A6" s="3" t="s">
        <v>34</v>
      </c>
      <c r="B6">
        <v>2925.1322922695322</v>
      </c>
    </row>
    <row r="7" spans="1:2" x14ac:dyDescent="0.3">
      <c r="A7" s="3" t="s">
        <v>101</v>
      </c>
      <c r="B7">
        <v>13147.093831993559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C17F-1CDC-40EA-B251-CB458C41F938}">
  <dimension ref="A1:K52"/>
  <sheetViews>
    <sheetView topLeftCell="A30" workbookViewId="0">
      <selection activeCell="K52" sqref="K52"/>
    </sheetView>
  </sheetViews>
  <sheetFormatPr defaultRowHeight="14.4" x14ac:dyDescent="0.3"/>
  <cols>
    <col min="2" max="2" width="11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102</v>
      </c>
      <c r="K1" t="s">
        <v>115</v>
      </c>
    </row>
    <row r="2" spans="1:11" x14ac:dyDescent="0.3">
      <c r="A2" t="s">
        <v>9</v>
      </c>
      <c r="B2" s="1">
        <v>44950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944.86</v>
      </c>
      <c r="I2">
        <v>767.16</v>
      </c>
      <c r="J2">
        <f>G2*H2</f>
        <v>2834.58</v>
      </c>
      <c r="K2">
        <f>H2/I2*100</f>
        <v>123.16335575368893</v>
      </c>
    </row>
    <row r="3" spans="1:11" x14ac:dyDescent="0.3">
      <c r="A3" t="s">
        <v>14</v>
      </c>
      <c r="B3" s="1">
        <v>44974</v>
      </c>
      <c r="C3" t="s">
        <v>15</v>
      </c>
      <c r="D3" t="s">
        <v>16</v>
      </c>
      <c r="E3" t="s">
        <v>17</v>
      </c>
      <c r="F3" t="s">
        <v>18</v>
      </c>
      <c r="G3">
        <v>2</v>
      </c>
      <c r="H3">
        <v>1098.1500000000001</v>
      </c>
      <c r="I3">
        <v>551.20000000000005</v>
      </c>
      <c r="J3">
        <f t="shared" ref="J3:J51" si="0">G3*H3</f>
        <v>2196.3000000000002</v>
      </c>
      <c r="K3">
        <f t="shared" ref="K3:K51" si="1">H3/I3*100</f>
        <v>199.2289550072569</v>
      </c>
    </row>
    <row r="4" spans="1:11" x14ac:dyDescent="0.3">
      <c r="A4" t="s">
        <v>19</v>
      </c>
      <c r="B4" s="1">
        <v>45046</v>
      </c>
      <c r="C4" t="s">
        <v>20</v>
      </c>
      <c r="D4" t="s">
        <v>16</v>
      </c>
      <c r="E4" t="s">
        <v>21</v>
      </c>
      <c r="F4" t="s">
        <v>13</v>
      </c>
      <c r="G4">
        <v>4</v>
      </c>
      <c r="H4">
        <v>1492.15</v>
      </c>
      <c r="I4">
        <v>684.1</v>
      </c>
      <c r="J4">
        <f t="shared" si="0"/>
        <v>5968.6</v>
      </c>
      <c r="K4">
        <f t="shared" si="1"/>
        <v>218.11869609706184</v>
      </c>
    </row>
    <row r="5" spans="1:11" x14ac:dyDescent="0.3">
      <c r="A5" t="s">
        <v>22</v>
      </c>
      <c r="B5" s="1">
        <v>45074</v>
      </c>
      <c r="C5" t="s">
        <v>23</v>
      </c>
      <c r="D5" t="s">
        <v>24</v>
      </c>
      <c r="E5" t="s">
        <v>21</v>
      </c>
      <c r="F5" t="s">
        <v>13</v>
      </c>
      <c r="G5">
        <v>4</v>
      </c>
      <c r="H5">
        <v>114.97</v>
      </c>
      <c r="I5">
        <v>51.69</v>
      </c>
      <c r="J5">
        <f t="shared" si="0"/>
        <v>459.88</v>
      </c>
      <c r="K5">
        <f t="shared" si="1"/>
        <v>222.422131940414</v>
      </c>
    </row>
    <row r="6" spans="1:11" x14ac:dyDescent="0.3">
      <c r="A6" t="s">
        <v>25</v>
      </c>
      <c r="B6" s="1">
        <v>44965</v>
      </c>
      <c r="C6" t="s">
        <v>26</v>
      </c>
      <c r="D6" t="s">
        <v>24</v>
      </c>
      <c r="E6" t="s">
        <v>27</v>
      </c>
      <c r="F6" t="s">
        <v>18</v>
      </c>
      <c r="G6">
        <v>3</v>
      </c>
      <c r="H6">
        <v>1918.59</v>
      </c>
      <c r="I6">
        <v>332.46</v>
      </c>
      <c r="J6">
        <f t="shared" si="0"/>
        <v>5755.7699999999995</v>
      </c>
      <c r="K6">
        <f t="shared" si="1"/>
        <v>577.08897310954694</v>
      </c>
    </row>
    <row r="7" spans="1:11" x14ac:dyDescent="0.3">
      <c r="A7" t="s">
        <v>28</v>
      </c>
      <c r="B7" s="1">
        <v>45071</v>
      </c>
      <c r="C7" t="s">
        <v>29</v>
      </c>
      <c r="D7" t="s">
        <v>16</v>
      </c>
      <c r="E7" t="s">
        <v>30</v>
      </c>
      <c r="F7" t="s">
        <v>18</v>
      </c>
      <c r="G7">
        <v>5</v>
      </c>
      <c r="H7">
        <v>374.26</v>
      </c>
      <c r="I7">
        <v>113.99</v>
      </c>
      <c r="J7">
        <f t="shared" si="0"/>
        <v>1871.3</v>
      </c>
      <c r="K7">
        <f t="shared" si="1"/>
        <v>328.32704623212561</v>
      </c>
    </row>
    <row r="8" spans="1:11" x14ac:dyDescent="0.3">
      <c r="A8" t="s">
        <v>31</v>
      </c>
      <c r="B8" s="1">
        <v>45191</v>
      </c>
      <c r="C8" t="s">
        <v>32</v>
      </c>
      <c r="D8" t="s">
        <v>16</v>
      </c>
      <c r="E8" t="s">
        <v>33</v>
      </c>
      <c r="F8" t="s">
        <v>34</v>
      </c>
      <c r="G8">
        <v>4</v>
      </c>
      <c r="H8">
        <v>1249.98</v>
      </c>
      <c r="I8">
        <v>724.99</v>
      </c>
      <c r="J8">
        <f t="shared" si="0"/>
        <v>4999.92</v>
      </c>
      <c r="K8">
        <f t="shared" si="1"/>
        <v>172.41341259879445</v>
      </c>
    </row>
    <row r="9" spans="1:11" x14ac:dyDescent="0.3">
      <c r="A9" t="s">
        <v>35</v>
      </c>
      <c r="B9" s="1">
        <v>45022</v>
      </c>
      <c r="C9" t="s">
        <v>36</v>
      </c>
      <c r="D9" t="s">
        <v>16</v>
      </c>
      <c r="E9" t="s">
        <v>37</v>
      </c>
      <c r="F9" t="s">
        <v>34</v>
      </c>
      <c r="G9">
        <v>5</v>
      </c>
      <c r="H9">
        <v>78.180000000000007</v>
      </c>
      <c r="I9">
        <v>109.84</v>
      </c>
      <c r="J9">
        <f t="shared" si="0"/>
        <v>390.90000000000003</v>
      </c>
      <c r="K9">
        <f t="shared" si="1"/>
        <v>71.176256372906039</v>
      </c>
    </row>
    <row r="10" spans="1:11" x14ac:dyDescent="0.3">
      <c r="A10" t="s">
        <v>38</v>
      </c>
      <c r="B10" s="1">
        <v>45009</v>
      </c>
      <c r="C10" t="s">
        <v>36</v>
      </c>
      <c r="D10" t="s">
        <v>24</v>
      </c>
      <c r="E10" t="s">
        <v>21</v>
      </c>
      <c r="F10" t="s">
        <v>13</v>
      </c>
      <c r="G10">
        <v>1</v>
      </c>
      <c r="H10">
        <v>173.81</v>
      </c>
      <c r="I10">
        <v>49.93</v>
      </c>
      <c r="J10">
        <f t="shared" si="0"/>
        <v>173.81</v>
      </c>
      <c r="K10">
        <f t="shared" si="1"/>
        <v>348.1073502904066</v>
      </c>
    </row>
    <row r="11" spans="1:11" x14ac:dyDescent="0.3">
      <c r="A11" t="s">
        <v>39</v>
      </c>
      <c r="B11" s="1">
        <v>44983</v>
      </c>
      <c r="C11" t="s">
        <v>40</v>
      </c>
      <c r="D11" t="s">
        <v>41</v>
      </c>
      <c r="E11" t="s">
        <v>12</v>
      </c>
      <c r="F11" t="s">
        <v>13</v>
      </c>
      <c r="G11">
        <v>2</v>
      </c>
      <c r="H11">
        <v>211.84</v>
      </c>
      <c r="I11">
        <v>78.33</v>
      </c>
      <c r="J11">
        <f t="shared" si="0"/>
        <v>423.68</v>
      </c>
      <c r="K11">
        <f t="shared" si="1"/>
        <v>270.44555087450533</v>
      </c>
    </row>
    <row r="12" spans="1:11" x14ac:dyDescent="0.3">
      <c r="A12" t="s">
        <v>42</v>
      </c>
      <c r="B12" s="1">
        <v>44938</v>
      </c>
      <c r="C12" t="s">
        <v>36</v>
      </c>
      <c r="D12" t="s">
        <v>16</v>
      </c>
      <c r="E12" t="s">
        <v>12</v>
      </c>
      <c r="F12" t="s">
        <v>13</v>
      </c>
      <c r="G12">
        <v>3</v>
      </c>
      <c r="H12">
        <v>945.51</v>
      </c>
      <c r="I12">
        <v>251.56</v>
      </c>
      <c r="J12">
        <f t="shared" si="0"/>
        <v>2836.5299999999997</v>
      </c>
      <c r="K12">
        <f t="shared" si="1"/>
        <v>375.85864207346157</v>
      </c>
    </row>
    <row r="13" spans="1:11" x14ac:dyDescent="0.3">
      <c r="A13" t="s">
        <v>43</v>
      </c>
      <c r="B13" s="1">
        <v>44964</v>
      </c>
      <c r="C13" t="s">
        <v>44</v>
      </c>
      <c r="D13" t="s">
        <v>24</v>
      </c>
      <c r="E13" t="s">
        <v>45</v>
      </c>
      <c r="F13" t="s">
        <v>34</v>
      </c>
      <c r="G13">
        <v>5</v>
      </c>
      <c r="H13">
        <v>531.21</v>
      </c>
      <c r="I13">
        <v>265.68</v>
      </c>
      <c r="J13">
        <f t="shared" si="0"/>
        <v>2656.05</v>
      </c>
      <c r="K13">
        <f t="shared" si="1"/>
        <v>199.94354110207772</v>
      </c>
    </row>
    <row r="14" spans="1:11" x14ac:dyDescent="0.3">
      <c r="A14" t="s">
        <v>46</v>
      </c>
      <c r="B14" s="1">
        <v>45126</v>
      </c>
      <c r="C14" t="s">
        <v>47</v>
      </c>
      <c r="D14" t="s">
        <v>16</v>
      </c>
      <c r="E14" t="s">
        <v>48</v>
      </c>
      <c r="F14" t="s">
        <v>13</v>
      </c>
      <c r="G14">
        <v>4</v>
      </c>
      <c r="H14">
        <v>724.1</v>
      </c>
      <c r="I14">
        <v>232.57</v>
      </c>
      <c r="J14">
        <f t="shared" si="0"/>
        <v>2896.4</v>
      </c>
      <c r="K14">
        <f t="shared" si="1"/>
        <v>311.3471212968139</v>
      </c>
    </row>
    <row r="15" spans="1:11" x14ac:dyDescent="0.3">
      <c r="A15" t="s">
        <v>49</v>
      </c>
      <c r="B15" s="1">
        <v>45213</v>
      </c>
      <c r="C15" t="s">
        <v>29</v>
      </c>
      <c r="D15" t="s">
        <v>16</v>
      </c>
      <c r="E15" t="s">
        <v>21</v>
      </c>
      <c r="F15" t="s">
        <v>13</v>
      </c>
      <c r="G15">
        <v>3</v>
      </c>
      <c r="H15">
        <v>509.15</v>
      </c>
      <c r="I15">
        <v>338.07</v>
      </c>
      <c r="J15">
        <f t="shared" si="0"/>
        <v>1527.4499999999998</v>
      </c>
      <c r="K15">
        <f t="shared" si="1"/>
        <v>150.60490430975833</v>
      </c>
    </row>
    <row r="16" spans="1:11" x14ac:dyDescent="0.3">
      <c r="A16" t="s">
        <v>50</v>
      </c>
      <c r="B16" s="1">
        <v>45195</v>
      </c>
      <c r="C16" t="s">
        <v>29</v>
      </c>
      <c r="D16" t="s">
        <v>11</v>
      </c>
      <c r="E16" t="s">
        <v>30</v>
      </c>
      <c r="F16" t="s">
        <v>18</v>
      </c>
      <c r="G16">
        <v>4</v>
      </c>
      <c r="H16">
        <v>187.04</v>
      </c>
      <c r="I16">
        <v>159.05000000000001</v>
      </c>
      <c r="J16">
        <f t="shared" si="0"/>
        <v>748.16</v>
      </c>
      <c r="K16">
        <f t="shared" si="1"/>
        <v>117.59823954731215</v>
      </c>
    </row>
    <row r="17" spans="1:11" x14ac:dyDescent="0.3">
      <c r="A17" t="s">
        <v>51</v>
      </c>
      <c r="B17" s="1">
        <v>45038</v>
      </c>
      <c r="C17" t="s">
        <v>52</v>
      </c>
      <c r="D17" t="s">
        <v>41</v>
      </c>
      <c r="E17" t="s">
        <v>27</v>
      </c>
      <c r="F17" t="s">
        <v>18</v>
      </c>
      <c r="G17">
        <v>3</v>
      </c>
      <c r="H17">
        <v>1018.72</v>
      </c>
      <c r="I17">
        <v>381.86</v>
      </c>
      <c r="J17">
        <f t="shared" si="0"/>
        <v>3056.16</v>
      </c>
      <c r="K17">
        <f t="shared" si="1"/>
        <v>266.77840046090193</v>
      </c>
    </row>
    <row r="18" spans="1:11" x14ac:dyDescent="0.3">
      <c r="A18" t="s">
        <v>53</v>
      </c>
      <c r="B18" s="1">
        <v>45101</v>
      </c>
      <c r="C18" t="s">
        <v>54</v>
      </c>
      <c r="D18" t="s">
        <v>41</v>
      </c>
      <c r="E18" t="s">
        <v>12</v>
      </c>
      <c r="F18" t="s">
        <v>13</v>
      </c>
      <c r="G18">
        <v>5</v>
      </c>
      <c r="H18">
        <v>450.64</v>
      </c>
      <c r="I18">
        <v>412.39</v>
      </c>
      <c r="J18">
        <f t="shared" si="0"/>
        <v>2253.1999999999998</v>
      </c>
      <c r="K18">
        <f t="shared" si="1"/>
        <v>109.27520065956982</v>
      </c>
    </row>
    <row r="19" spans="1:11" x14ac:dyDescent="0.3">
      <c r="A19" t="s">
        <v>55</v>
      </c>
      <c r="B19" s="1">
        <v>44940</v>
      </c>
      <c r="C19" t="s">
        <v>56</v>
      </c>
      <c r="D19" t="s">
        <v>24</v>
      </c>
      <c r="E19" t="s">
        <v>21</v>
      </c>
      <c r="F19" t="s">
        <v>13</v>
      </c>
      <c r="G19">
        <v>4</v>
      </c>
      <c r="H19">
        <v>805.42</v>
      </c>
      <c r="I19">
        <v>603.14</v>
      </c>
      <c r="J19">
        <f t="shared" si="0"/>
        <v>3221.68</v>
      </c>
      <c r="K19">
        <f t="shared" si="1"/>
        <v>133.53781874854926</v>
      </c>
    </row>
    <row r="20" spans="1:11" x14ac:dyDescent="0.3">
      <c r="A20" t="s">
        <v>57</v>
      </c>
      <c r="B20" s="1">
        <v>45131</v>
      </c>
      <c r="C20" t="s">
        <v>58</v>
      </c>
      <c r="D20" t="s">
        <v>16</v>
      </c>
      <c r="E20" t="s">
        <v>45</v>
      </c>
      <c r="F20" t="s">
        <v>34</v>
      </c>
      <c r="G20">
        <v>1</v>
      </c>
      <c r="H20">
        <v>1785.87</v>
      </c>
      <c r="I20">
        <v>447.63</v>
      </c>
      <c r="J20">
        <f t="shared" si="0"/>
        <v>1785.87</v>
      </c>
      <c r="K20">
        <f t="shared" si="1"/>
        <v>398.96119563031965</v>
      </c>
    </row>
    <row r="21" spans="1:11" x14ac:dyDescent="0.3">
      <c r="A21" t="s">
        <v>59</v>
      </c>
      <c r="B21" s="1">
        <v>45169</v>
      </c>
      <c r="C21" t="s">
        <v>60</v>
      </c>
      <c r="D21" t="s">
        <v>41</v>
      </c>
      <c r="E21" t="s">
        <v>45</v>
      </c>
      <c r="F21" t="s">
        <v>34</v>
      </c>
      <c r="G21">
        <v>2</v>
      </c>
      <c r="H21">
        <v>169.06</v>
      </c>
      <c r="I21">
        <v>45.74</v>
      </c>
      <c r="J21">
        <f t="shared" si="0"/>
        <v>338.12</v>
      </c>
      <c r="K21">
        <f t="shared" si="1"/>
        <v>369.61084390030607</v>
      </c>
    </row>
    <row r="22" spans="1:11" x14ac:dyDescent="0.3">
      <c r="A22" t="s">
        <v>61</v>
      </c>
      <c r="B22" s="1">
        <v>45223</v>
      </c>
      <c r="C22" t="s">
        <v>62</v>
      </c>
      <c r="D22" t="s">
        <v>11</v>
      </c>
      <c r="E22" t="s">
        <v>45</v>
      </c>
      <c r="F22" t="s">
        <v>34</v>
      </c>
      <c r="G22">
        <v>5</v>
      </c>
      <c r="H22">
        <v>1052.04</v>
      </c>
      <c r="I22">
        <v>1420.37</v>
      </c>
      <c r="J22">
        <f t="shared" si="0"/>
        <v>5260.2</v>
      </c>
      <c r="K22">
        <f t="shared" si="1"/>
        <v>74.068024528819947</v>
      </c>
    </row>
    <row r="23" spans="1:11" x14ac:dyDescent="0.3">
      <c r="A23" t="s">
        <v>63</v>
      </c>
      <c r="B23" s="1">
        <v>45146</v>
      </c>
      <c r="C23" t="s">
        <v>56</v>
      </c>
      <c r="D23" t="s">
        <v>24</v>
      </c>
      <c r="E23" t="s">
        <v>48</v>
      </c>
      <c r="F23" t="s">
        <v>13</v>
      </c>
      <c r="G23">
        <v>5</v>
      </c>
      <c r="H23">
        <v>1432.26</v>
      </c>
      <c r="I23">
        <v>1108.45</v>
      </c>
      <c r="J23">
        <f t="shared" si="0"/>
        <v>7161.3</v>
      </c>
      <c r="K23">
        <f t="shared" si="1"/>
        <v>129.21286481122286</v>
      </c>
    </row>
    <row r="24" spans="1:11" x14ac:dyDescent="0.3">
      <c r="A24" t="s">
        <v>64</v>
      </c>
      <c r="B24" s="1">
        <v>45061</v>
      </c>
      <c r="C24" t="s">
        <v>65</v>
      </c>
      <c r="D24" t="s">
        <v>24</v>
      </c>
      <c r="E24" t="s">
        <v>30</v>
      </c>
      <c r="F24" t="s">
        <v>18</v>
      </c>
      <c r="G24">
        <v>4</v>
      </c>
      <c r="H24">
        <v>1449.35</v>
      </c>
      <c r="I24">
        <v>923.92</v>
      </c>
      <c r="J24">
        <f t="shared" si="0"/>
        <v>5797.4</v>
      </c>
      <c r="K24">
        <f t="shared" si="1"/>
        <v>156.8696423932808</v>
      </c>
    </row>
    <row r="25" spans="1:11" x14ac:dyDescent="0.3">
      <c r="A25" t="s">
        <v>66</v>
      </c>
      <c r="B25" s="1">
        <v>44981</v>
      </c>
      <c r="C25" t="s">
        <v>67</v>
      </c>
      <c r="D25" t="s">
        <v>16</v>
      </c>
      <c r="E25" t="s">
        <v>48</v>
      </c>
      <c r="F25" t="s">
        <v>13</v>
      </c>
      <c r="G25">
        <v>4</v>
      </c>
      <c r="H25">
        <v>767.08</v>
      </c>
      <c r="I25">
        <v>465.44</v>
      </c>
      <c r="J25">
        <f t="shared" si="0"/>
        <v>3068.32</v>
      </c>
      <c r="K25">
        <f t="shared" si="1"/>
        <v>164.807493984187</v>
      </c>
    </row>
    <row r="26" spans="1:11" x14ac:dyDescent="0.3">
      <c r="A26" t="s">
        <v>68</v>
      </c>
      <c r="B26" s="1">
        <v>45105</v>
      </c>
      <c r="C26" t="s">
        <v>69</v>
      </c>
      <c r="D26" t="s">
        <v>41</v>
      </c>
      <c r="E26" t="s">
        <v>48</v>
      </c>
      <c r="F26" t="s">
        <v>13</v>
      </c>
      <c r="G26">
        <v>2</v>
      </c>
      <c r="H26">
        <v>1506.32</v>
      </c>
      <c r="I26">
        <v>611.79</v>
      </c>
      <c r="J26">
        <f t="shared" si="0"/>
        <v>3012.64</v>
      </c>
      <c r="K26">
        <f t="shared" si="1"/>
        <v>246.21520456365747</v>
      </c>
    </row>
    <row r="27" spans="1:11" x14ac:dyDescent="0.3">
      <c r="A27" t="s">
        <v>70</v>
      </c>
      <c r="B27" s="1">
        <v>45010</v>
      </c>
      <c r="C27" t="s">
        <v>71</v>
      </c>
      <c r="D27" t="s">
        <v>24</v>
      </c>
      <c r="E27" t="s">
        <v>21</v>
      </c>
      <c r="F27" t="s">
        <v>13</v>
      </c>
      <c r="G27">
        <v>3</v>
      </c>
      <c r="H27">
        <v>242.66</v>
      </c>
      <c r="I27">
        <v>73.87</v>
      </c>
      <c r="J27">
        <f t="shared" si="0"/>
        <v>727.98</v>
      </c>
      <c r="K27">
        <f t="shared" si="1"/>
        <v>328.4960064979017</v>
      </c>
    </row>
    <row r="28" spans="1:11" x14ac:dyDescent="0.3">
      <c r="A28" t="s">
        <v>72</v>
      </c>
      <c r="B28" s="1">
        <v>45166</v>
      </c>
      <c r="C28" t="s">
        <v>71</v>
      </c>
      <c r="D28" t="s">
        <v>11</v>
      </c>
      <c r="E28" t="s">
        <v>27</v>
      </c>
      <c r="F28" t="s">
        <v>18</v>
      </c>
      <c r="G28">
        <v>2</v>
      </c>
      <c r="H28">
        <v>81.62</v>
      </c>
      <c r="I28">
        <v>14.36</v>
      </c>
      <c r="J28">
        <f t="shared" si="0"/>
        <v>163.24</v>
      </c>
      <c r="K28">
        <f t="shared" si="1"/>
        <v>568.38440111420618</v>
      </c>
    </row>
    <row r="29" spans="1:11" x14ac:dyDescent="0.3">
      <c r="A29" t="s">
        <v>73</v>
      </c>
      <c r="B29" s="1">
        <v>45140</v>
      </c>
      <c r="C29" t="s">
        <v>67</v>
      </c>
      <c r="D29" t="s">
        <v>16</v>
      </c>
      <c r="E29" t="s">
        <v>12</v>
      </c>
      <c r="F29" t="s">
        <v>13</v>
      </c>
      <c r="G29">
        <v>5</v>
      </c>
      <c r="H29">
        <v>1002.04</v>
      </c>
      <c r="I29">
        <v>335.9</v>
      </c>
      <c r="J29">
        <f t="shared" si="0"/>
        <v>5010.2</v>
      </c>
      <c r="K29">
        <f t="shared" si="1"/>
        <v>298.3149746948497</v>
      </c>
    </row>
    <row r="30" spans="1:11" x14ac:dyDescent="0.3">
      <c r="A30" t="s">
        <v>74</v>
      </c>
      <c r="B30" s="1">
        <v>44958</v>
      </c>
      <c r="C30" t="s">
        <v>47</v>
      </c>
      <c r="D30" t="s">
        <v>11</v>
      </c>
      <c r="E30" t="s">
        <v>27</v>
      </c>
      <c r="F30" t="s">
        <v>18</v>
      </c>
      <c r="G30">
        <v>4</v>
      </c>
      <c r="H30">
        <v>1992.67</v>
      </c>
      <c r="I30">
        <v>872.46</v>
      </c>
      <c r="J30">
        <f t="shared" si="0"/>
        <v>7970.68</v>
      </c>
      <c r="K30">
        <f t="shared" si="1"/>
        <v>228.39671732801503</v>
      </c>
    </row>
    <row r="31" spans="1:11" x14ac:dyDescent="0.3">
      <c r="A31" t="s">
        <v>75</v>
      </c>
      <c r="B31" s="1">
        <v>44985</v>
      </c>
      <c r="C31" t="s">
        <v>26</v>
      </c>
      <c r="D31" t="s">
        <v>24</v>
      </c>
      <c r="E31" t="s">
        <v>37</v>
      </c>
      <c r="F31" t="s">
        <v>34</v>
      </c>
      <c r="G31">
        <v>1</v>
      </c>
      <c r="H31">
        <v>260.39</v>
      </c>
      <c r="I31">
        <v>65.39</v>
      </c>
      <c r="J31">
        <f t="shared" si="0"/>
        <v>260.39</v>
      </c>
      <c r="K31">
        <f t="shared" si="1"/>
        <v>398.21073558648112</v>
      </c>
    </row>
    <row r="32" spans="1:11" x14ac:dyDescent="0.3">
      <c r="A32" t="s">
        <v>76</v>
      </c>
      <c r="B32" s="1">
        <v>44998</v>
      </c>
      <c r="C32" t="s">
        <v>47</v>
      </c>
      <c r="D32" t="s">
        <v>41</v>
      </c>
      <c r="E32" t="s">
        <v>33</v>
      </c>
      <c r="F32" t="s">
        <v>34</v>
      </c>
      <c r="G32">
        <v>5</v>
      </c>
      <c r="H32">
        <v>1887.76</v>
      </c>
      <c r="I32">
        <v>2012</v>
      </c>
      <c r="J32">
        <f t="shared" si="0"/>
        <v>9438.7999999999993</v>
      </c>
      <c r="K32">
        <f t="shared" si="1"/>
        <v>93.825049701789268</v>
      </c>
    </row>
    <row r="33" spans="1:11" x14ac:dyDescent="0.3">
      <c r="A33" t="s">
        <v>77</v>
      </c>
      <c r="B33" s="1">
        <v>45041</v>
      </c>
      <c r="C33" t="s">
        <v>23</v>
      </c>
      <c r="D33" t="s">
        <v>16</v>
      </c>
      <c r="E33" t="s">
        <v>21</v>
      </c>
      <c r="F33" t="s">
        <v>13</v>
      </c>
      <c r="G33">
        <v>5</v>
      </c>
      <c r="H33">
        <v>1231.48</v>
      </c>
      <c r="I33">
        <v>1755.77</v>
      </c>
      <c r="J33">
        <f t="shared" si="0"/>
        <v>6157.4</v>
      </c>
      <c r="K33">
        <f t="shared" si="1"/>
        <v>70.139027321346191</v>
      </c>
    </row>
    <row r="34" spans="1:11" x14ac:dyDescent="0.3">
      <c r="A34" t="s">
        <v>78</v>
      </c>
      <c r="B34" s="1">
        <v>45157</v>
      </c>
      <c r="C34" t="s">
        <v>65</v>
      </c>
      <c r="D34" t="s">
        <v>41</v>
      </c>
      <c r="E34" t="s">
        <v>48</v>
      </c>
      <c r="F34" t="s">
        <v>13</v>
      </c>
      <c r="G34">
        <v>1</v>
      </c>
      <c r="H34">
        <v>708.34</v>
      </c>
      <c r="I34">
        <v>68.78</v>
      </c>
      <c r="J34">
        <f t="shared" si="0"/>
        <v>708.34</v>
      </c>
      <c r="K34">
        <f t="shared" si="1"/>
        <v>1029.8633323640595</v>
      </c>
    </row>
    <row r="35" spans="1:11" x14ac:dyDescent="0.3">
      <c r="A35" t="s">
        <v>79</v>
      </c>
      <c r="B35" s="1">
        <v>44974</v>
      </c>
      <c r="C35" t="s">
        <v>80</v>
      </c>
      <c r="D35" t="s">
        <v>16</v>
      </c>
      <c r="E35" t="s">
        <v>27</v>
      </c>
      <c r="F35" t="s">
        <v>18</v>
      </c>
      <c r="G35">
        <v>4</v>
      </c>
      <c r="H35">
        <v>1854</v>
      </c>
      <c r="I35">
        <v>862</v>
      </c>
      <c r="J35">
        <f t="shared" si="0"/>
        <v>7416</v>
      </c>
      <c r="K35">
        <f t="shared" si="1"/>
        <v>215.08120649651974</v>
      </c>
    </row>
    <row r="36" spans="1:11" x14ac:dyDescent="0.3">
      <c r="A36" t="s">
        <v>81</v>
      </c>
      <c r="B36" s="1">
        <v>45180</v>
      </c>
      <c r="C36" t="s">
        <v>82</v>
      </c>
      <c r="D36" t="s">
        <v>24</v>
      </c>
      <c r="E36" t="s">
        <v>48</v>
      </c>
      <c r="F36" t="s">
        <v>13</v>
      </c>
      <c r="G36">
        <v>4</v>
      </c>
      <c r="H36">
        <v>962.86</v>
      </c>
      <c r="I36">
        <v>523.44000000000005</v>
      </c>
      <c r="J36">
        <f t="shared" si="0"/>
        <v>3851.44</v>
      </c>
      <c r="K36">
        <f t="shared" si="1"/>
        <v>183.94849457435424</v>
      </c>
    </row>
    <row r="37" spans="1:11" x14ac:dyDescent="0.3">
      <c r="A37" t="s">
        <v>83</v>
      </c>
      <c r="B37" s="1">
        <v>44959</v>
      </c>
      <c r="C37" t="s">
        <v>84</v>
      </c>
      <c r="D37" t="s">
        <v>24</v>
      </c>
      <c r="E37" t="s">
        <v>33</v>
      </c>
      <c r="F37" t="s">
        <v>34</v>
      </c>
      <c r="G37">
        <v>5</v>
      </c>
      <c r="H37">
        <v>836.91</v>
      </c>
      <c r="I37">
        <v>1221.0999999999999</v>
      </c>
      <c r="J37">
        <f t="shared" si="0"/>
        <v>4184.55</v>
      </c>
      <c r="K37">
        <f t="shared" si="1"/>
        <v>68.537384325608059</v>
      </c>
    </row>
    <row r="38" spans="1:11" x14ac:dyDescent="0.3">
      <c r="A38" t="s">
        <v>85</v>
      </c>
      <c r="B38" s="1">
        <v>45081</v>
      </c>
      <c r="C38" t="s">
        <v>26</v>
      </c>
      <c r="D38" t="s">
        <v>41</v>
      </c>
      <c r="E38" t="s">
        <v>48</v>
      </c>
      <c r="F38" t="s">
        <v>13</v>
      </c>
      <c r="G38">
        <v>1</v>
      </c>
      <c r="H38">
        <v>943.36</v>
      </c>
      <c r="I38">
        <v>152.94</v>
      </c>
      <c r="J38">
        <f t="shared" si="0"/>
        <v>943.36</v>
      </c>
      <c r="K38">
        <f t="shared" si="1"/>
        <v>616.81705243886495</v>
      </c>
    </row>
    <row r="39" spans="1:11" x14ac:dyDescent="0.3">
      <c r="A39" t="s">
        <v>86</v>
      </c>
      <c r="B39" s="1">
        <v>44967</v>
      </c>
      <c r="C39" t="s">
        <v>82</v>
      </c>
      <c r="D39" t="s">
        <v>16</v>
      </c>
      <c r="E39" t="s">
        <v>30</v>
      </c>
      <c r="F39" t="s">
        <v>18</v>
      </c>
      <c r="G39">
        <v>5</v>
      </c>
      <c r="H39">
        <v>526.34</v>
      </c>
      <c r="I39">
        <v>255.86</v>
      </c>
      <c r="J39">
        <f t="shared" si="0"/>
        <v>2631.7000000000003</v>
      </c>
      <c r="K39">
        <f t="shared" si="1"/>
        <v>205.71406237786292</v>
      </c>
    </row>
    <row r="40" spans="1:11" x14ac:dyDescent="0.3">
      <c r="A40" t="s">
        <v>87</v>
      </c>
      <c r="B40" s="1">
        <v>44930</v>
      </c>
      <c r="C40" t="s">
        <v>67</v>
      </c>
      <c r="D40" t="s">
        <v>41</v>
      </c>
      <c r="E40" t="s">
        <v>30</v>
      </c>
      <c r="F40" t="s">
        <v>18</v>
      </c>
      <c r="G40">
        <v>3</v>
      </c>
      <c r="H40">
        <v>736.92</v>
      </c>
      <c r="I40">
        <v>325.81</v>
      </c>
      <c r="J40">
        <f t="shared" si="0"/>
        <v>2210.7599999999998</v>
      </c>
      <c r="K40">
        <f t="shared" si="1"/>
        <v>226.18090298026456</v>
      </c>
    </row>
    <row r="41" spans="1:11" x14ac:dyDescent="0.3">
      <c r="A41" t="s">
        <v>88</v>
      </c>
      <c r="B41" s="1">
        <v>45135</v>
      </c>
      <c r="C41" t="s">
        <v>15</v>
      </c>
      <c r="D41" t="s">
        <v>41</v>
      </c>
      <c r="E41" t="s">
        <v>37</v>
      </c>
      <c r="F41" t="s">
        <v>34</v>
      </c>
      <c r="G41">
        <v>2</v>
      </c>
      <c r="H41">
        <v>189.04</v>
      </c>
      <c r="I41">
        <v>46.03</v>
      </c>
      <c r="J41">
        <f t="shared" si="0"/>
        <v>378.08</v>
      </c>
      <c r="K41">
        <f t="shared" si="1"/>
        <v>410.68868129480774</v>
      </c>
    </row>
    <row r="42" spans="1:11" x14ac:dyDescent="0.3">
      <c r="A42" t="s">
        <v>89</v>
      </c>
      <c r="B42" s="1">
        <v>44986</v>
      </c>
      <c r="C42" t="s">
        <v>44</v>
      </c>
      <c r="D42" t="s">
        <v>16</v>
      </c>
      <c r="E42" t="s">
        <v>33</v>
      </c>
      <c r="F42" t="s">
        <v>34</v>
      </c>
      <c r="G42">
        <v>5</v>
      </c>
      <c r="H42">
        <v>436.77</v>
      </c>
      <c r="I42">
        <v>455.88</v>
      </c>
      <c r="J42">
        <f t="shared" si="0"/>
        <v>2183.85</v>
      </c>
      <c r="K42">
        <f t="shared" si="1"/>
        <v>95.80810739668334</v>
      </c>
    </row>
    <row r="43" spans="1:11" x14ac:dyDescent="0.3">
      <c r="A43" t="s">
        <v>90</v>
      </c>
      <c r="B43" s="1">
        <v>44969</v>
      </c>
      <c r="C43" t="s">
        <v>91</v>
      </c>
      <c r="D43" t="s">
        <v>11</v>
      </c>
      <c r="E43" t="s">
        <v>17</v>
      </c>
      <c r="F43" t="s">
        <v>18</v>
      </c>
      <c r="G43">
        <v>2</v>
      </c>
      <c r="H43">
        <v>111.25</v>
      </c>
      <c r="I43">
        <v>61.81</v>
      </c>
      <c r="J43">
        <f t="shared" si="0"/>
        <v>222.5</v>
      </c>
      <c r="K43">
        <f t="shared" si="1"/>
        <v>179.9870571104999</v>
      </c>
    </row>
    <row r="44" spans="1:11" x14ac:dyDescent="0.3">
      <c r="A44" t="s">
        <v>92</v>
      </c>
      <c r="B44" s="1">
        <v>45129</v>
      </c>
      <c r="C44" t="s">
        <v>65</v>
      </c>
      <c r="D44" t="s">
        <v>11</v>
      </c>
      <c r="E44" t="s">
        <v>27</v>
      </c>
      <c r="F44" t="s">
        <v>18</v>
      </c>
      <c r="G44">
        <v>5</v>
      </c>
      <c r="H44">
        <v>1960.26</v>
      </c>
      <c r="I44">
        <v>807.34</v>
      </c>
      <c r="J44">
        <f t="shared" si="0"/>
        <v>9801.2999999999993</v>
      </c>
      <c r="K44">
        <f t="shared" si="1"/>
        <v>242.80476626947754</v>
      </c>
    </row>
    <row r="45" spans="1:11" x14ac:dyDescent="0.3">
      <c r="A45" t="s">
        <v>93</v>
      </c>
      <c r="B45" s="1">
        <v>44992</v>
      </c>
      <c r="C45" t="s">
        <v>26</v>
      </c>
      <c r="D45" t="s">
        <v>41</v>
      </c>
      <c r="E45" t="s">
        <v>17</v>
      </c>
      <c r="F45" t="s">
        <v>18</v>
      </c>
      <c r="G45">
        <v>4</v>
      </c>
      <c r="H45">
        <v>421.91</v>
      </c>
      <c r="I45">
        <v>372.58</v>
      </c>
      <c r="J45">
        <f t="shared" si="0"/>
        <v>1687.64</v>
      </c>
      <c r="K45">
        <f t="shared" si="1"/>
        <v>113.24010950668315</v>
      </c>
    </row>
    <row r="46" spans="1:11" x14ac:dyDescent="0.3">
      <c r="A46" t="s">
        <v>94</v>
      </c>
      <c r="B46" s="1">
        <v>45014</v>
      </c>
      <c r="C46" t="s">
        <v>91</v>
      </c>
      <c r="D46" t="s">
        <v>11</v>
      </c>
      <c r="E46" t="s">
        <v>12</v>
      </c>
      <c r="F46" t="s">
        <v>13</v>
      </c>
      <c r="G46">
        <v>1</v>
      </c>
      <c r="H46">
        <v>1750.51</v>
      </c>
      <c r="I46">
        <v>423.83</v>
      </c>
      <c r="J46">
        <f t="shared" si="0"/>
        <v>1750.51</v>
      </c>
      <c r="K46">
        <f t="shared" si="1"/>
        <v>413.02173041077788</v>
      </c>
    </row>
    <row r="47" spans="1:11" x14ac:dyDescent="0.3">
      <c r="A47" t="s">
        <v>95</v>
      </c>
      <c r="B47" s="1">
        <v>45218</v>
      </c>
      <c r="C47" t="s">
        <v>36</v>
      </c>
      <c r="D47" t="s">
        <v>41</v>
      </c>
      <c r="E47" t="s">
        <v>37</v>
      </c>
      <c r="F47" t="s">
        <v>34</v>
      </c>
      <c r="G47">
        <v>5</v>
      </c>
      <c r="H47">
        <v>483.66</v>
      </c>
      <c r="I47">
        <v>384.72</v>
      </c>
      <c r="J47">
        <f t="shared" si="0"/>
        <v>2418.3000000000002</v>
      </c>
      <c r="K47">
        <f t="shared" si="1"/>
        <v>125.71740486587647</v>
      </c>
    </row>
    <row r="48" spans="1:11" x14ac:dyDescent="0.3">
      <c r="A48" t="s">
        <v>96</v>
      </c>
      <c r="B48" s="1">
        <v>45175</v>
      </c>
      <c r="C48" t="s">
        <v>29</v>
      </c>
      <c r="D48" t="s">
        <v>41</v>
      </c>
      <c r="E48" t="s">
        <v>45</v>
      </c>
      <c r="F48" t="s">
        <v>34</v>
      </c>
      <c r="G48">
        <v>1</v>
      </c>
      <c r="H48">
        <v>1632</v>
      </c>
      <c r="I48">
        <v>485.87</v>
      </c>
      <c r="J48">
        <f t="shared" si="0"/>
        <v>1632</v>
      </c>
      <c r="K48">
        <f t="shared" si="1"/>
        <v>335.89231687488422</v>
      </c>
    </row>
    <row r="49" spans="1:11" x14ac:dyDescent="0.3">
      <c r="A49" t="s">
        <v>97</v>
      </c>
      <c r="B49" s="1">
        <v>44953</v>
      </c>
      <c r="C49" t="s">
        <v>44</v>
      </c>
      <c r="D49" t="s">
        <v>24</v>
      </c>
      <c r="E49" t="s">
        <v>17</v>
      </c>
      <c r="F49" t="s">
        <v>18</v>
      </c>
      <c r="G49">
        <v>1</v>
      </c>
      <c r="H49">
        <v>102.04</v>
      </c>
      <c r="I49">
        <v>20.18</v>
      </c>
      <c r="J49">
        <f t="shared" si="0"/>
        <v>102.04</v>
      </c>
      <c r="K49">
        <f t="shared" si="1"/>
        <v>505.6491575817642</v>
      </c>
    </row>
    <row r="50" spans="1:11" x14ac:dyDescent="0.3">
      <c r="A50" t="s">
        <v>98</v>
      </c>
      <c r="B50" s="1">
        <v>45156</v>
      </c>
      <c r="C50" t="s">
        <v>58</v>
      </c>
      <c r="D50" t="s">
        <v>24</v>
      </c>
      <c r="E50" t="s">
        <v>33</v>
      </c>
      <c r="F50" t="s">
        <v>34</v>
      </c>
      <c r="G50">
        <v>4</v>
      </c>
      <c r="H50">
        <v>726.41</v>
      </c>
      <c r="I50">
        <v>658.7</v>
      </c>
      <c r="J50">
        <f t="shared" si="0"/>
        <v>2905.64</v>
      </c>
      <c r="K50">
        <f t="shared" si="1"/>
        <v>110.2793380901776</v>
      </c>
    </row>
    <row r="51" spans="1:11" x14ac:dyDescent="0.3">
      <c r="A51" t="s">
        <v>99</v>
      </c>
      <c r="B51" s="1">
        <v>45210</v>
      </c>
      <c r="C51" t="s">
        <v>32</v>
      </c>
      <c r="D51" t="s">
        <v>24</v>
      </c>
      <c r="E51" t="s">
        <v>27</v>
      </c>
      <c r="F51" t="s">
        <v>18</v>
      </c>
      <c r="G51">
        <v>1</v>
      </c>
      <c r="H51">
        <v>1815.51</v>
      </c>
      <c r="I51">
        <v>523.33000000000004</v>
      </c>
      <c r="J51">
        <f t="shared" si="0"/>
        <v>1815.51</v>
      </c>
      <c r="K51">
        <f t="shared" si="1"/>
        <v>346.9149485028567</v>
      </c>
    </row>
    <row r="52" spans="1:11" x14ac:dyDescent="0.3">
      <c r="J52">
        <f>SUM(J2:J51)</f>
        <v>147266.43000000005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F2DC-AA6B-4837-A5F4-C9306B782AB8}">
  <sheetPr>
    <pageSetUpPr fitToPage="1"/>
  </sheetPr>
  <dimension ref="Q10"/>
  <sheetViews>
    <sheetView tabSelected="1" zoomScale="56" workbookViewId="0">
      <selection activeCell="C2" sqref="C2:AF53"/>
    </sheetView>
  </sheetViews>
  <sheetFormatPr defaultRowHeight="14.4" x14ac:dyDescent="0.3"/>
  <sheetData>
    <row r="10" spans="17:17" x14ac:dyDescent="0.3">
      <c r="Q10" s="5"/>
    </row>
  </sheetData>
  <pageMargins left="0.7" right="0.7" top="0.75" bottom="0.75" header="0.3" footer="0.3"/>
  <pageSetup paperSize="9" scale="4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E8B6-62B7-4217-A837-EB43DABC34D4}">
  <dimension ref="A1:I51"/>
  <sheetViews>
    <sheetView topLeftCell="E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44950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944.86</v>
      </c>
      <c r="I2">
        <v>767.16</v>
      </c>
    </row>
    <row r="3" spans="1:9" x14ac:dyDescent="0.3">
      <c r="A3" t="s">
        <v>14</v>
      </c>
      <c r="B3" s="1">
        <v>44974</v>
      </c>
      <c r="C3" t="s">
        <v>15</v>
      </c>
      <c r="D3" t="s">
        <v>16</v>
      </c>
      <c r="E3" t="s">
        <v>17</v>
      </c>
      <c r="F3" t="s">
        <v>18</v>
      </c>
      <c r="G3">
        <v>2</v>
      </c>
      <c r="H3">
        <v>1098.1500000000001</v>
      </c>
      <c r="I3">
        <v>551.20000000000005</v>
      </c>
    </row>
    <row r="4" spans="1:9" x14ac:dyDescent="0.3">
      <c r="A4" t="s">
        <v>19</v>
      </c>
      <c r="B4" s="1">
        <v>45046</v>
      </c>
      <c r="C4" t="s">
        <v>20</v>
      </c>
      <c r="D4" t="s">
        <v>16</v>
      </c>
      <c r="E4" t="s">
        <v>21</v>
      </c>
      <c r="F4" t="s">
        <v>13</v>
      </c>
      <c r="G4">
        <v>4</v>
      </c>
      <c r="H4">
        <v>1492.15</v>
      </c>
      <c r="I4">
        <v>684.1</v>
      </c>
    </row>
    <row r="5" spans="1:9" x14ac:dyDescent="0.3">
      <c r="A5" t="s">
        <v>22</v>
      </c>
      <c r="B5" s="1">
        <v>45074</v>
      </c>
      <c r="C5" t="s">
        <v>23</v>
      </c>
      <c r="D5" t="s">
        <v>24</v>
      </c>
      <c r="E5" t="s">
        <v>21</v>
      </c>
      <c r="F5" t="s">
        <v>13</v>
      </c>
      <c r="G5">
        <v>4</v>
      </c>
      <c r="H5">
        <v>114.97</v>
      </c>
      <c r="I5">
        <v>51.69</v>
      </c>
    </row>
    <row r="6" spans="1:9" x14ac:dyDescent="0.3">
      <c r="A6" t="s">
        <v>25</v>
      </c>
      <c r="B6" s="1">
        <v>44965</v>
      </c>
      <c r="C6" t="s">
        <v>26</v>
      </c>
      <c r="D6" t="s">
        <v>24</v>
      </c>
      <c r="E6" t="s">
        <v>27</v>
      </c>
      <c r="F6" t="s">
        <v>18</v>
      </c>
      <c r="G6">
        <v>3</v>
      </c>
      <c r="H6">
        <v>1918.59</v>
      </c>
      <c r="I6">
        <v>332.46</v>
      </c>
    </row>
    <row r="7" spans="1:9" x14ac:dyDescent="0.3">
      <c r="A7" t="s">
        <v>28</v>
      </c>
      <c r="B7" s="1">
        <v>45071</v>
      </c>
      <c r="C7" t="s">
        <v>29</v>
      </c>
      <c r="D7" t="s">
        <v>16</v>
      </c>
      <c r="E7" t="s">
        <v>30</v>
      </c>
      <c r="F7" t="s">
        <v>18</v>
      </c>
      <c r="G7">
        <v>5</v>
      </c>
      <c r="H7">
        <v>374.26</v>
      </c>
      <c r="I7">
        <v>113.99</v>
      </c>
    </row>
    <row r="8" spans="1:9" x14ac:dyDescent="0.3">
      <c r="A8" t="s">
        <v>31</v>
      </c>
      <c r="B8" s="1">
        <v>45191</v>
      </c>
      <c r="C8" t="s">
        <v>32</v>
      </c>
      <c r="D8" t="s">
        <v>16</v>
      </c>
      <c r="E8" t="s">
        <v>33</v>
      </c>
      <c r="F8" t="s">
        <v>34</v>
      </c>
      <c r="G8">
        <v>4</v>
      </c>
      <c r="H8">
        <v>1249.98</v>
      </c>
      <c r="I8">
        <v>724.99</v>
      </c>
    </row>
    <row r="9" spans="1:9" x14ac:dyDescent="0.3">
      <c r="A9" t="s">
        <v>35</v>
      </c>
      <c r="B9" s="1">
        <v>45022</v>
      </c>
      <c r="C9" t="s">
        <v>36</v>
      </c>
      <c r="D9" t="s">
        <v>16</v>
      </c>
      <c r="E9" t="s">
        <v>37</v>
      </c>
      <c r="F9" t="s">
        <v>34</v>
      </c>
      <c r="G9">
        <v>5</v>
      </c>
      <c r="H9">
        <v>78.180000000000007</v>
      </c>
      <c r="I9">
        <v>109.84</v>
      </c>
    </row>
    <row r="10" spans="1:9" x14ac:dyDescent="0.3">
      <c r="A10" t="s">
        <v>38</v>
      </c>
      <c r="B10" s="1">
        <v>45009</v>
      </c>
      <c r="C10" t="s">
        <v>36</v>
      </c>
      <c r="D10" t="s">
        <v>24</v>
      </c>
      <c r="E10" t="s">
        <v>21</v>
      </c>
      <c r="F10" t="s">
        <v>13</v>
      </c>
      <c r="G10">
        <v>1</v>
      </c>
      <c r="H10">
        <v>173.81</v>
      </c>
      <c r="I10">
        <v>49.93</v>
      </c>
    </row>
    <row r="11" spans="1:9" x14ac:dyDescent="0.3">
      <c r="A11" t="s">
        <v>39</v>
      </c>
      <c r="B11" s="1">
        <v>44983</v>
      </c>
      <c r="C11" t="s">
        <v>40</v>
      </c>
      <c r="D11" t="s">
        <v>41</v>
      </c>
      <c r="E11" t="s">
        <v>12</v>
      </c>
      <c r="F11" t="s">
        <v>13</v>
      </c>
      <c r="G11">
        <v>2</v>
      </c>
      <c r="H11">
        <v>211.84</v>
      </c>
      <c r="I11">
        <v>78.33</v>
      </c>
    </row>
    <row r="12" spans="1:9" x14ac:dyDescent="0.3">
      <c r="A12" t="s">
        <v>42</v>
      </c>
      <c r="B12" s="1">
        <v>44938</v>
      </c>
      <c r="C12" t="s">
        <v>36</v>
      </c>
      <c r="D12" t="s">
        <v>16</v>
      </c>
      <c r="E12" t="s">
        <v>12</v>
      </c>
      <c r="F12" t="s">
        <v>13</v>
      </c>
      <c r="G12">
        <v>3</v>
      </c>
      <c r="H12">
        <v>945.51</v>
      </c>
      <c r="I12">
        <v>251.56</v>
      </c>
    </row>
    <row r="13" spans="1:9" x14ac:dyDescent="0.3">
      <c r="A13" t="s">
        <v>43</v>
      </c>
      <c r="B13" s="1">
        <v>44964</v>
      </c>
      <c r="C13" t="s">
        <v>44</v>
      </c>
      <c r="D13" t="s">
        <v>24</v>
      </c>
      <c r="E13" t="s">
        <v>45</v>
      </c>
      <c r="F13" t="s">
        <v>34</v>
      </c>
      <c r="G13">
        <v>5</v>
      </c>
      <c r="H13">
        <v>531.21</v>
      </c>
      <c r="I13">
        <v>265.68</v>
      </c>
    </row>
    <row r="14" spans="1:9" x14ac:dyDescent="0.3">
      <c r="A14" t="s">
        <v>46</v>
      </c>
      <c r="B14" s="1">
        <v>45126</v>
      </c>
      <c r="C14" t="s">
        <v>47</v>
      </c>
      <c r="D14" t="s">
        <v>16</v>
      </c>
      <c r="E14" t="s">
        <v>48</v>
      </c>
      <c r="F14" t="s">
        <v>13</v>
      </c>
      <c r="G14">
        <v>4</v>
      </c>
      <c r="H14">
        <v>724.1</v>
      </c>
      <c r="I14">
        <v>232.57</v>
      </c>
    </row>
    <row r="15" spans="1:9" x14ac:dyDescent="0.3">
      <c r="A15" t="s">
        <v>49</v>
      </c>
      <c r="B15" s="1">
        <v>45213</v>
      </c>
      <c r="C15" t="s">
        <v>29</v>
      </c>
      <c r="D15" t="s">
        <v>16</v>
      </c>
      <c r="E15" t="s">
        <v>21</v>
      </c>
      <c r="F15" t="s">
        <v>13</v>
      </c>
      <c r="G15">
        <v>3</v>
      </c>
      <c r="H15">
        <v>509.15</v>
      </c>
      <c r="I15">
        <v>338.07</v>
      </c>
    </row>
    <row r="16" spans="1:9" x14ac:dyDescent="0.3">
      <c r="A16" t="s">
        <v>50</v>
      </c>
      <c r="B16" s="1">
        <v>45195</v>
      </c>
      <c r="C16" t="s">
        <v>29</v>
      </c>
      <c r="D16" t="s">
        <v>11</v>
      </c>
      <c r="E16" t="s">
        <v>30</v>
      </c>
      <c r="F16" t="s">
        <v>18</v>
      </c>
      <c r="G16">
        <v>4</v>
      </c>
      <c r="H16">
        <v>187.04</v>
      </c>
      <c r="I16">
        <v>159.05000000000001</v>
      </c>
    </row>
    <row r="17" spans="1:9" x14ac:dyDescent="0.3">
      <c r="A17" t="s">
        <v>51</v>
      </c>
      <c r="B17" s="1">
        <v>45038</v>
      </c>
      <c r="C17" t="s">
        <v>52</v>
      </c>
      <c r="D17" t="s">
        <v>41</v>
      </c>
      <c r="E17" t="s">
        <v>27</v>
      </c>
      <c r="F17" t="s">
        <v>18</v>
      </c>
      <c r="G17">
        <v>3</v>
      </c>
      <c r="H17">
        <v>1018.72</v>
      </c>
      <c r="I17">
        <v>381.86</v>
      </c>
    </row>
    <row r="18" spans="1:9" x14ac:dyDescent="0.3">
      <c r="A18" t="s">
        <v>53</v>
      </c>
      <c r="B18" s="1">
        <v>45101</v>
      </c>
      <c r="C18" t="s">
        <v>54</v>
      </c>
      <c r="D18" t="s">
        <v>41</v>
      </c>
      <c r="E18" t="s">
        <v>12</v>
      </c>
      <c r="F18" t="s">
        <v>13</v>
      </c>
      <c r="G18">
        <v>5</v>
      </c>
      <c r="H18">
        <v>450.64</v>
      </c>
      <c r="I18">
        <v>412.39</v>
      </c>
    </row>
    <row r="19" spans="1:9" x14ac:dyDescent="0.3">
      <c r="A19" t="s">
        <v>55</v>
      </c>
      <c r="B19" s="1">
        <v>44940</v>
      </c>
      <c r="C19" t="s">
        <v>56</v>
      </c>
      <c r="D19" t="s">
        <v>24</v>
      </c>
      <c r="E19" t="s">
        <v>21</v>
      </c>
      <c r="F19" t="s">
        <v>13</v>
      </c>
      <c r="G19">
        <v>4</v>
      </c>
      <c r="H19">
        <v>805.42</v>
      </c>
      <c r="I19">
        <v>603.14</v>
      </c>
    </row>
    <row r="20" spans="1:9" x14ac:dyDescent="0.3">
      <c r="A20" t="s">
        <v>57</v>
      </c>
      <c r="B20" s="1">
        <v>45131</v>
      </c>
      <c r="C20" t="s">
        <v>58</v>
      </c>
      <c r="D20" t="s">
        <v>16</v>
      </c>
      <c r="E20" t="s">
        <v>45</v>
      </c>
      <c r="F20" t="s">
        <v>34</v>
      </c>
      <c r="G20">
        <v>1</v>
      </c>
      <c r="H20">
        <v>1785.87</v>
      </c>
      <c r="I20">
        <v>447.63</v>
      </c>
    </row>
    <row r="21" spans="1:9" x14ac:dyDescent="0.3">
      <c r="A21" t="s">
        <v>59</v>
      </c>
      <c r="B21" s="1">
        <v>45169</v>
      </c>
      <c r="C21" t="s">
        <v>60</v>
      </c>
      <c r="D21" t="s">
        <v>41</v>
      </c>
      <c r="E21" t="s">
        <v>45</v>
      </c>
      <c r="F21" t="s">
        <v>34</v>
      </c>
      <c r="G21">
        <v>2</v>
      </c>
      <c r="H21">
        <v>169.06</v>
      </c>
      <c r="I21">
        <v>45.74</v>
      </c>
    </row>
    <row r="22" spans="1:9" x14ac:dyDescent="0.3">
      <c r="A22" t="s">
        <v>61</v>
      </c>
      <c r="B22" s="1">
        <v>45223</v>
      </c>
      <c r="C22" t="s">
        <v>62</v>
      </c>
      <c r="D22" t="s">
        <v>11</v>
      </c>
      <c r="E22" t="s">
        <v>45</v>
      </c>
      <c r="F22" t="s">
        <v>34</v>
      </c>
      <c r="G22">
        <v>5</v>
      </c>
      <c r="H22">
        <v>1052.04</v>
      </c>
      <c r="I22">
        <v>1420.37</v>
      </c>
    </row>
    <row r="23" spans="1:9" x14ac:dyDescent="0.3">
      <c r="A23" t="s">
        <v>63</v>
      </c>
      <c r="B23" s="1">
        <v>45146</v>
      </c>
      <c r="C23" t="s">
        <v>56</v>
      </c>
      <c r="D23" t="s">
        <v>24</v>
      </c>
      <c r="E23" t="s">
        <v>48</v>
      </c>
      <c r="F23" t="s">
        <v>13</v>
      </c>
      <c r="G23">
        <v>5</v>
      </c>
      <c r="H23">
        <v>1432.26</v>
      </c>
      <c r="I23">
        <v>1108.45</v>
      </c>
    </row>
    <row r="24" spans="1:9" x14ac:dyDescent="0.3">
      <c r="A24" t="s">
        <v>64</v>
      </c>
      <c r="B24" s="1">
        <v>45061</v>
      </c>
      <c r="C24" t="s">
        <v>65</v>
      </c>
      <c r="D24" t="s">
        <v>24</v>
      </c>
      <c r="E24" t="s">
        <v>30</v>
      </c>
      <c r="F24" t="s">
        <v>18</v>
      </c>
      <c r="G24">
        <v>4</v>
      </c>
      <c r="H24">
        <v>1449.35</v>
      </c>
      <c r="I24">
        <v>923.92</v>
      </c>
    </row>
    <row r="25" spans="1:9" x14ac:dyDescent="0.3">
      <c r="A25" t="s">
        <v>66</v>
      </c>
      <c r="B25" s="1">
        <v>44981</v>
      </c>
      <c r="C25" t="s">
        <v>67</v>
      </c>
      <c r="D25" t="s">
        <v>16</v>
      </c>
      <c r="E25" t="s">
        <v>48</v>
      </c>
      <c r="F25" t="s">
        <v>13</v>
      </c>
      <c r="G25">
        <v>4</v>
      </c>
      <c r="H25">
        <v>767.08</v>
      </c>
      <c r="I25">
        <v>465.44</v>
      </c>
    </row>
    <row r="26" spans="1:9" x14ac:dyDescent="0.3">
      <c r="A26" t="s">
        <v>68</v>
      </c>
      <c r="B26" s="1">
        <v>45105</v>
      </c>
      <c r="C26" t="s">
        <v>69</v>
      </c>
      <c r="D26" t="s">
        <v>41</v>
      </c>
      <c r="E26" t="s">
        <v>48</v>
      </c>
      <c r="F26" t="s">
        <v>13</v>
      </c>
      <c r="G26">
        <v>2</v>
      </c>
      <c r="H26">
        <v>1506.32</v>
      </c>
      <c r="I26">
        <v>611.79</v>
      </c>
    </row>
    <row r="27" spans="1:9" x14ac:dyDescent="0.3">
      <c r="A27" t="s">
        <v>70</v>
      </c>
      <c r="B27" s="1">
        <v>45010</v>
      </c>
      <c r="C27" t="s">
        <v>71</v>
      </c>
      <c r="D27" t="s">
        <v>24</v>
      </c>
      <c r="E27" t="s">
        <v>21</v>
      </c>
      <c r="F27" t="s">
        <v>13</v>
      </c>
      <c r="G27">
        <v>3</v>
      </c>
      <c r="H27">
        <v>242.66</v>
      </c>
      <c r="I27">
        <v>73.87</v>
      </c>
    </row>
    <row r="28" spans="1:9" x14ac:dyDescent="0.3">
      <c r="A28" t="s">
        <v>72</v>
      </c>
      <c r="B28" s="1">
        <v>45166</v>
      </c>
      <c r="C28" t="s">
        <v>71</v>
      </c>
      <c r="D28" t="s">
        <v>11</v>
      </c>
      <c r="E28" t="s">
        <v>27</v>
      </c>
      <c r="F28" t="s">
        <v>18</v>
      </c>
      <c r="G28">
        <v>2</v>
      </c>
      <c r="H28">
        <v>81.62</v>
      </c>
      <c r="I28">
        <v>14.36</v>
      </c>
    </row>
    <row r="29" spans="1:9" x14ac:dyDescent="0.3">
      <c r="A29" t="s">
        <v>73</v>
      </c>
      <c r="B29" s="1">
        <v>45140</v>
      </c>
      <c r="C29" t="s">
        <v>67</v>
      </c>
      <c r="D29" t="s">
        <v>16</v>
      </c>
      <c r="E29" t="s">
        <v>12</v>
      </c>
      <c r="F29" t="s">
        <v>13</v>
      </c>
      <c r="G29">
        <v>5</v>
      </c>
      <c r="H29">
        <v>1002.04</v>
      </c>
      <c r="I29">
        <v>335.9</v>
      </c>
    </row>
    <row r="30" spans="1:9" x14ac:dyDescent="0.3">
      <c r="A30" t="s">
        <v>74</v>
      </c>
      <c r="B30" s="1">
        <v>44958</v>
      </c>
      <c r="C30" t="s">
        <v>47</v>
      </c>
      <c r="D30" t="s">
        <v>11</v>
      </c>
      <c r="E30" t="s">
        <v>27</v>
      </c>
      <c r="F30" t="s">
        <v>18</v>
      </c>
      <c r="G30">
        <v>4</v>
      </c>
      <c r="H30">
        <v>1992.67</v>
      </c>
      <c r="I30">
        <v>872.46</v>
      </c>
    </row>
    <row r="31" spans="1:9" x14ac:dyDescent="0.3">
      <c r="A31" t="s">
        <v>75</v>
      </c>
      <c r="B31" s="1">
        <v>44985</v>
      </c>
      <c r="C31" t="s">
        <v>26</v>
      </c>
      <c r="D31" t="s">
        <v>24</v>
      </c>
      <c r="E31" t="s">
        <v>37</v>
      </c>
      <c r="F31" t="s">
        <v>34</v>
      </c>
      <c r="G31">
        <v>1</v>
      </c>
      <c r="H31">
        <v>260.39</v>
      </c>
      <c r="I31">
        <v>65.39</v>
      </c>
    </row>
    <row r="32" spans="1:9" x14ac:dyDescent="0.3">
      <c r="A32" t="s">
        <v>76</v>
      </c>
      <c r="B32" s="1">
        <v>44998</v>
      </c>
      <c r="C32" t="s">
        <v>47</v>
      </c>
      <c r="D32" t="s">
        <v>41</v>
      </c>
      <c r="E32" t="s">
        <v>33</v>
      </c>
      <c r="F32" t="s">
        <v>34</v>
      </c>
      <c r="G32">
        <v>5</v>
      </c>
      <c r="H32">
        <v>1887.76</v>
      </c>
      <c r="I32">
        <v>2012</v>
      </c>
    </row>
    <row r="33" spans="1:9" x14ac:dyDescent="0.3">
      <c r="A33" t="s">
        <v>77</v>
      </c>
      <c r="B33" s="1">
        <v>45041</v>
      </c>
      <c r="C33" t="s">
        <v>23</v>
      </c>
      <c r="D33" t="s">
        <v>16</v>
      </c>
      <c r="E33" t="s">
        <v>21</v>
      </c>
      <c r="F33" t="s">
        <v>13</v>
      </c>
      <c r="G33">
        <v>5</v>
      </c>
      <c r="H33">
        <v>1231.48</v>
      </c>
      <c r="I33">
        <v>1755.77</v>
      </c>
    </row>
    <row r="34" spans="1:9" x14ac:dyDescent="0.3">
      <c r="A34" t="s">
        <v>78</v>
      </c>
      <c r="B34" s="1">
        <v>45157</v>
      </c>
      <c r="C34" t="s">
        <v>65</v>
      </c>
      <c r="D34" t="s">
        <v>41</v>
      </c>
      <c r="E34" t="s">
        <v>48</v>
      </c>
      <c r="F34" t="s">
        <v>13</v>
      </c>
      <c r="G34">
        <v>1</v>
      </c>
      <c r="H34">
        <v>708.34</v>
      </c>
      <c r="I34">
        <v>68.78</v>
      </c>
    </row>
    <row r="35" spans="1:9" x14ac:dyDescent="0.3">
      <c r="A35" t="s">
        <v>79</v>
      </c>
      <c r="B35" s="1">
        <v>44974</v>
      </c>
      <c r="C35" t="s">
        <v>80</v>
      </c>
      <c r="D35" t="s">
        <v>16</v>
      </c>
      <c r="E35" t="s">
        <v>27</v>
      </c>
      <c r="F35" t="s">
        <v>18</v>
      </c>
      <c r="G35">
        <v>4</v>
      </c>
      <c r="H35">
        <v>1854</v>
      </c>
      <c r="I35">
        <v>862</v>
      </c>
    </row>
    <row r="36" spans="1:9" x14ac:dyDescent="0.3">
      <c r="A36" t="s">
        <v>81</v>
      </c>
      <c r="B36" s="1">
        <v>45180</v>
      </c>
      <c r="C36" t="s">
        <v>82</v>
      </c>
      <c r="D36" t="s">
        <v>24</v>
      </c>
      <c r="E36" t="s">
        <v>48</v>
      </c>
      <c r="F36" t="s">
        <v>13</v>
      </c>
      <c r="G36">
        <v>4</v>
      </c>
      <c r="H36">
        <v>962.86</v>
      </c>
      <c r="I36">
        <v>523.44000000000005</v>
      </c>
    </row>
    <row r="37" spans="1:9" x14ac:dyDescent="0.3">
      <c r="A37" t="s">
        <v>83</v>
      </c>
      <c r="B37" s="1">
        <v>44959</v>
      </c>
      <c r="C37" t="s">
        <v>84</v>
      </c>
      <c r="D37" t="s">
        <v>24</v>
      </c>
      <c r="E37" t="s">
        <v>33</v>
      </c>
      <c r="F37" t="s">
        <v>34</v>
      </c>
      <c r="G37">
        <v>5</v>
      </c>
      <c r="H37">
        <v>836.91</v>
      </c>
      <c r="I37">
        <v>1221.0999999999999</v>
      </c>
    </row>
    <row r="38" spans="1:9" x14ac:dyDescent="0.3">
      <c r="A38" t="s">
        <v>85</v>
      </c>
      <c r="B38" s="1">
        <v>45081</v>
      </c>
      <c r="C38" t="s">
        <v>26</v>
      </c>
      <c r="D38" t="s">
        <v>41</v>
      </c>
      <c r="E38" t="s">
        <v>48</v>
      </c>
      <c r="F38" t="s">
        <v>13</v>
      </c>
      <c r="G38">
        <v>1</v>
      </c>
      <c r="H38">
        <v>943.36</v>
      </c>
      <c r="I38">
        <v>152.94</v>
      </c>
    </row>
    <row r="39" spans="1:9" x14ac:dyDescent="0.3">
      <c r="A39" t="s">
        <v>86</v>
      </c>
      <c r="B39" s="1">
        <v>44967</v>
      </c>
      <c r="C39" t="s">
        <v>82</v>
      </c>
      <c r="D39" t="s">
        <v>16</v>
      </c>
      <c r="E39" t="s">
        <v>30</v>
      </c>
      <c r="F39" t="s">
        <v>18</v>
      </c>
      <c r="G39">
        <v>5</v>
      </c>
      <c r="H39">
        <v>526.34</v>
      </c>
      <c r="I39">
        <v>255.86</v>
      </c>
    </row>
    <row r="40" spans="1:9" x14ac:dyDescent="0.3">
      <c r="A40" t="s">
        <v>87</v>
      </c>
      <c r="B40" s="1">
        <v>44930</v>
      </c>
      <c r="C40" t="s">
        <v>67</v>
      </c>
      <c r="D40" t="s">
        <v>41</v>
      </c>
      <c r="E40" t="s">
        <v>30</v>
      </c>
      <c r="F40" t="s">
        <v>18</v>
      </c>
      <c r="G40">
        <v>3</v>
      </c>
      <c r="H40">
        <v>736.92</v>
      </c>
      <c r="I40">
        <v>325.81</v>
      </c>
    </row>
    <row r="41" spans="1:9" x14ac:dyDescent="0.3">
      <c r="A41" t="s">
        <v>88</v>
      </c>
      <c r="B41" s="1">
        <v>45135</v>
      </c>
      <c r="C41" t="s">
        <v>15</v>
      </c>
      <c r="D41" t="s">
        <v>41</v>
      </c>
      <c r="E41" t="s">
        <v>37</v>
      </c>
      <c r="F41" t="s">
        <v>34</v>
      </c>
      <c r="G41">
        <v>2</v>
      </c>
      <c r="H41">
        <v>189.04</v>
      </c>
      <c r="I41">
        <v>46.03</v>
      </c>
    </row>
    <row r="42" spans="1:9" x14ac:dyDescent="0.3">
      <c r="A42" t="s">
        <v>89</v>
      </c>
      <c r="B42" s="1">
        <v>44986</v>
      </c>
      <c r="C42" t="s">
        <v>44</v>
      </c>
      <c r="D42" t="s">
        <v>16</v>
      </c>
      <c r="E42" t="s">
        <v>33</v>
      </c>
      <c r="F42" t="s">
        <v>34</v>
      </c>
      <c r="G42">
        <v>5</v>
      </c>
      <c r="H42">
        <v>436.77</v>
      </c>
      <c r="I42">
        <v>455.88</v>
      </c>
    </row>
    <row r="43" spans="1:9" x14ac:dyDescent="0.3">
      <c r="A43" t="s">
        <v>90</v>
      </c>
      <c r="B43" s="1">
        <v>44969</v>
      </c>
      <c r="C43" t="s">
        <v>91</v>
      </c>
      <c r="D43" t="s">
        <v>11</v>
      </c>
      <c r="E43" t="s">
        <v>17</v>
      </c>
      <c r="F43" t="s">
        <v>18</v>
      </c>
      <c r="G43">
        <v>2</v>
      </c>
      <c r="H43">
        <v>111.25</v>
      </c>
      <c r="I43">
        <v>61.81</v>
      </c>
    </row>
    <row r="44" spans="1:9" x14ac:dyDescent="0.3">
      <c r="A44" t="s">
        <v>92</v>
      </c>
      <c r="B44" s="1">
        <v>45129</v>
      </c>
      <c r="C44" t="s">
        <v>65</v>
      </c>
      <c r="D44" t="s">
        <v>11</v>
      </c>
      <c r="E44" t="s">
        <v>27</v>
      </c>
      <c r="F44" t="s">
        <v>18</v>
      </c>
      <c r="G44">
        <v>5</v>
      </c>
      <c r="H44">
        <v>1960.26</v>
      </c>
      <c r="I44">
        <v>807.34</v>
      </c>
    </row>
    <row r="45" spans="1:9" x14ac:dyDescent="0.3">
      <c r="A45" t="s">
        <v>93</v>
      </c>
      <c r="B45" s="1">
        <v>44992</v>
      </c>
      <c r="C45" t="s">
        <v>26</v>
      </c>
      <c r="D45" t="s">
        <v>41</v>
      </c>
      <c r="E45" t="s">
        <v>17</v>
      </c>
      <c r="F45" t="s">
        <v>18</v>
      </c>
      <c r="G45">
        <v>4</v>
      </c>
      <c r="H45">
        <v>421.91</v>
      </c>
      <c r="I45">
        <v>372.58</v>
      </c>
    </row>
    <row r="46" spans="1:9" x14ac:dyDescent="0.3">
      <c r="A46" t="s">
        <v>94</v>
      </c>
      <c r="B46" s="1">
        <v>45014</v>
      </c>
      <c r="C46" t="s">
        <v>91</v>
      </c>
      <c r="D46" t="s">
        <v>11</v>
      </c>
      <c r="E46" t="s">
        <v>12</v>
      </c>
      <c r="F46" t="s">
        <v>13</v>
      </c>
      <c r="G46">
        <v>1</v>
      </c>
      <c r="H46">
        <v>1750.51</v>
      </c>
      <c r="I46">
        <v>423.83</v>
      </c>
    </row>
    <row r="47" spans="1:9" x14ac:dyDescent="0.3">
      <c r="A47" t="s">
        <v>95</v>
      </c>
      <c r="B47" s="1">
        <v>45218</v>
      </c>
      <c r="C47" t="s">
        <v>36</v>
      </c>
      <c r="D47" t="s">
        <v>41</v>
      </c>
      <c r="E47" t="s">
        <v>37</v>
      </c>
      <c r="F47" t="s">
        <v>34</v>
      </c>
      <c r="G47">
        <v>5</v>
      </c>
      <c r="H47">
        <v>483.66</v>
      </c>
      <c r="I47">
        <v>384.72</v>
      </c>
    </row>
    <row r="48" spans="1:9" x14ac:dyDescent="0.3">
      <c r="A48" t="s">
        <v>96</v>
      </c>
      <c r="B48" s="1">
        <v>45175</v>
      </c>
      <c r="C48" t="s">
        <v>29</v>
      </c>
      <c r="D48" t="s">
        <v>41</v>
      </c>
      <c r="E48" t="s">
        <v>45</v>
      </c>
      <c r="F48" t="s">
        <v>34</v>
      </c>
      <c r="G48">
        <v>1</v>
      </c>
      <c r="H48">
        <v>1632</v>
      </c>
      <c r="I48">
        <v>485.87</v>
      </c>
    </row>
    <row r="49" spans="1:9" x14ac:dyDescent="0.3">
      <c r="A49" t="s">
        <v>97</v>
      </c>
      <c r="B49" s="1">
        <v>44953</v>
      </c>
      <c r="C49" t="s">
        <v>44</v>
      </c>
      <c r="D49" t="s">
        <v>24</v>
      </c>
      <c r="E49" t="s">
        <v>17</v>
      </c>
      <c r="F49" t="s">
        <v>18</v>
      </c>
      <c r="G49">
        <v>1</v>
      </c>
      <c r="H49">
        <v>102.04</v>
      </c>
      <c r="I49">
        <v>20.18</v>
      </c>
    </row>
    <row r="50" spans="1:9" x14ac:dyDescent="0.3">
      <c r="A50" t="s">
        <v>98</v>
      </c>
      <c r="B50" s="1">
        <v>45156</v>
      </c>
      <c r="C50" t="s">
        <v>58</v>
      </c>
      <c r="D50" t="s">
        <v>24</v>
      </c>
      <c r="E50" t="s">
        <v>33</v>
      </c>
      <c r="F50" t="s">
        <v>34</v>
      </c>
      <c r="G50">
        <v>4</v>
      </c>
      <c r="H50">
        <v>726.41</v>
      </c>
      <c r="I50">
        <v>658.7</v>
      </c>
    </row>
    <row r="51" spans="1:9" x14ac:dyDescent="0.3">
      <c r="A51" t="s">
        <v>99</v>
      </c>
      <c r="B51" s="1">
        <v>45210</v>
      </c>
      <c r="C51" t="s">
        <v>32</v>
      </c>
      <c r="D51" t="s">
        <v>24</v>
      </c>
      <c r="E51" t="s">
        <v>27</v>
      </c>
      <c r="F51" t="s">
        <v>18</v>
      </c>
      <c r="G51">
        <v>1</v>
      </c>
      <c r="H51">
        <v>1815.51</v>
      </c>
      <c r="I51">
        <v>523.33000000000004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pivot-region</vt:lpstr>
      <vt:lpstr>Pivot-category</vt:lpstr>
      <vt:lpstr>pivot-month</vt:lpstr>
      <vt:lpstr>Pofit-margin</vt:lpstr>
      <vt:lpstr>cleaned data</vt:lpstr>
      <vt:lpstr>Dahsboard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pandey</dc:creator>
  <cp:lastModifiedBy>krishna pandey</cp:lastModifiedBy>
  <cp:lastPrinted>2025-12-06T09:30:57Z</cp:lastPrinted>
  <dcterms:created xsi:type="dcterms:W3CDTF">2025-11-26T11:53:32Z</dcterms:created>
  <dcterms:modified xsi:type="dcterms:W3CDTF">2025-12-06T09:50:50Z</dcterms:modified>
</cp:coreProperties>
</file>